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clem\Desktop\personal\UCSAR\2026\Diplomado - Contabilidad Financiera\MODULO II\"/>
    </mc:Choice>
  </mc:AlternateContent>
  <bookViews>
    <workbookView xWindow="0" yWindow="0" windowWidth="30720" windowHeight="13392"/>
  </bookViews>
  <sheets>
    <sheet name="Balance de Saldo al 2024 " sheetId="1" r:id="rId1"/>
    <sheet name="Balance de Saldo al 2024  (2)" sheetId="2" r:id="rId2"/>
  </sheets>
  <definedNames>
    <definedName name="_xlnm._FilterDatabase" localSheetId="0" hidden="1">'Balance de Saldo al 2024 '!$D$1:$D$128</definedName>
    <definedName name="_xlnm._FilterDatabase" localSheetId="1" hidden="1">'Balance de Saldo al 2024  (2)'!$D$1:$D$128</definedName>
  </definedNames>
  <calcPr calcId="162913"/>
</workbook>
</file>

<file path=xl/calcChain.xml><?xml version="1.0" encoding="utf-8"?>
<calcChain xmlns="http://schemas.openxmlformats.org/spreadsheetml/2006/main">
  <c r="E40" i="2" l="1"/>
  <c r="D40" i="2"/>
  <c r="C40" i="2"/>
  <c r="C40" i="1"/>
</calcChain>
</file>

<file path=xl/sharedStrings.xml><?xml version="1.0" encoding="utf-8"?>
<sst xmlns="http://schemas.openxmlformats.org/spreadsheetml/2006/main" count="132" uniqueCount="50">
  <si>
    <t xml:space="preserve">REPUBLICA BOLIVARIANA DE VENEZUELA </t>
  </si>
  <si>
    <t>MINISTERIO DE EDUCACION SUPERIOR</t>
  </si>
  <si>
    <t xml:space="preserve">PONTIFICIA UNIVERSIDAD CATOLICA SANTA ROSA </t>
  </si>
  <si>
    <t>Nº</t>
  </si>
  <si>
    <t xml:space="preserve">CUENTAS </t>
  </si>
  <si>
    <t>SALDO PERIODO
 ANTERIOR</t>
  </si>
  <si>
    <t>ESTADO SITUACIÓN FINANCIERA AL 01/01/1990</t>
  </si>
  <si>
    <t>ESTADO DE RESULTADO SALDO AL 31/12/1990</t>
  </si>
  <si>
    <t>SITUACION FINANCIERA 
AJUSTES</t>
  </si>
  <si>
    <t>ESTADO DE RESULTADO  
AJUSTES</t>
  </si>
  <si>
    <t>COSTO DE VENTA 
AJUSTES</t>
  </si>
  <si>
    <t>ESTADO DE SITUACION 
FINANCIERA AJUSTADO</t>
  </si>
  <si>
    <t>ESTADO DE RESULTADO  
AJUSTADO</t>
  </si>
  <si>
    <t>BALANCE DE COMROBACION DE SUMAS Y SALDOS   
AJUSTADO</t>
  </si>
  <si>
    <t xml:space="preserve">DEBE </t>
  </si>
  <si>
    <t>HABER</t>
  </si>
  <si>
    <t>DEBE</t>
  </si>
  <si>
    <t xml:space="preserve">CAJA </t>
  </si>
  <si>
    <t>BANCO</t>
  </si>
  <si>
    <t>EFECTOS POR COBRAR</t>
  </si>
  <si>
    <t>CUENTA POR COBRAR</t>
  </si>
  <si>
    <t>EFECTOS DESCONTADOS</t>
  </si>
  <si>
    <t>BANCO CUENTAS GIROS AL COBRO</t>
  </si>
  <si>
    <t>EFECTOS POR PAGAR</t>
  </si>
  <si>
    <t>INVENTARIO DE MERCANCIA</t>
  </si>
  <si>
    <t>MERCANCIA EN TRANSITO</t>
  </si>
  <si>
    <t>ANTICIPO SOBRE CARTAS DE  CREDITOS</t>
  </si>
  <si>
    <t>CARTA DE CREDITO OBTENIDA</t>
  </si>
  <si>
    <t>CARTA DE CREDITO PENDIENTE</t>
  </si>
  <si>
    <t>SEGUROS ANTICIPADOS</t>
  </si>
  <si>
    <t>HIPOTECAS</t>
  </si>
  <si>
    <t xml:space="preserve">EDIFICIOS </t>
  </si>
  <si>
    <t>EQUIPOS DE REPARTO</t>
  </si>
  <si>
    <t>EQUIPOS DE OFICINA</t>
  </si>
  <si>
    <t>DEPRECIACION ACUMULADA DE EQUIPOS DE REPARTO</t>
  </si>
  <si>
    <t>DEPRECIACION ACUMULADA DE EQUIPOS DE OFICINA</t>
  </si>
  <si>
    <t>TERRENO EDIFICIO</t>
  </si>
  <si>
    <t>IMPUESTOS POR PAGAR</t>
  </si>
  <si>
    <t xml:space="preserve">PREVISION PRESTACIONES SOCIALES </t>
  </si>
  <si>
    <t>CUENTA POR PAGAR</t>
  </si>
  <si>
    <t>RESERVA LEGAL</t>
  </si>
  <si>
    <t>DEPOSITO RECIBIDO EN GARANTIA</t>
  </si>
  <si>
    <t xml:space="preserve">PROVISION PARA INCOBRABLE </t>
  </si>
  <si>
    <t xml:space="preserve">ALQUILERES COBRADOS POR ANTICIPADOS </t>
  </si>
  <si>
    <t xml:space="preserve">MATERIAL DE OFICINA </t>
  </si>
  <si>
    <t>UTILIDADES RETENIDAS</t>
  </si>
  <si>
    <t>CAPITAL SOCIAL</t>
  </si>
  <si>
    <t>TOTAL SALDO PERIODO ANTERIOR</t>
  </si>
  <si>
    <t>EMPRESA DIPLOMADO ESPECIALIZADO, S.A.</t>
  </si>
  <si>
    <t xml:space="preserve">ESTADO DE SITUACION FINANCIERA Y BALANCE DE COMPROBACION AJUSTADO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</si>
</sst>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/>
    <xf numFmtId="4" fontId="2" fillId="0" borderId="1" xfId="0" applyNumberFormat="1" applyFont="1" applyBorder="1"/>
    <xf numFmtId="4" fontId="0" fillId="0" borderId="1" xfId="0" applyNumberFormat="1" applyBorder="1"/>
    <xf numFmtId="164" fontId="0" fillId="0" borderId="1" xfId="1" applyFont="1" applyBorder="1"/>
    <xf numFmtId="49" fontId="2" fillId="0" borderId="1" xfId="0" applyNumberFormat="1" applyFont="1" applyFill="1" applyBorder="1"/>
    <xf numFmtId="4" fontId="0" fillId="0" borderId="1" xfId="0" applyNumberFormat="1" applyFill="1" applyBorder="1"/>
    <xf numFmtId="0" fontId="0" fillId="0" borderId="1" xfId="0" applyBorder="1"/>
    <xf numFmtId="4" fontId="2" fillId="0" borderId="3" xfId="0" applyNumberFormat="1" applyFont="1" applyBorder="1"/>
    <xf numFmtId="4" fontId="0" fillId="0" borderId="3" xfId="0" applyNumberFormat="1" applyBorder="1"/>
    <xf numFmtId="4" fontId="3" fillId="0" borderId="4" xfId="0" applyNumberFormat="1" applyFont="1" applyBorder="1"/>
    <xf numFmtId="164" fontId="3" fillId="0" borderId="1" xfId="1" applyFont="1" applyBorder="1"/>
    <xf numFmtId="49" fontId="0" fillId="0" borderId="1" xfId="0" applyNumberFormat="1" applyBorder="1"/>
    <xf numFmtId="4" fontId="0" fillId="0" borderId="5" xfId="0" applyNumberFormat="1" applyBorder="1"/>
    <xf numFmtId="164" fontId="0" fillId="0" borderId="6" xfId="1" applyFont="1" applyBorder="1"/>
    <xf numFmtId="164" fontId="0" fillId="0" borderId="5" xfId="1" applyFont="1" applyBorder="1"/>
    <xf numFmtId="4" fontId="5" fillId="0" borderId="1" xfId="0" applyNumberFormat="1" applyFont="1" applyBorder="1"/>
    <xf numFmtId="164" fontId="0" fillId="0" borderId="1" xfId="1" applyFont="1" applyFill="1" applyBorder="1"/>
    <xf numFmtId="0" fontId="2" fillId="0" borderId="1" xfId="0" applyFont="1" applyBorder="1"/>
    <xf numFmtId="4" fontId="0" fillId="0" borderId="6" xfId="0" applyNumberFormat="1" applyBorder="1"/>
    <xf numFmtId="4" fontId="6" fillId="0" borderId="7" xfId="0" applyNumberFormat="1" applyFont="1" applyBorder="1"/>
    <xf numFmtId="49" fontId="0" fillId="0" borderId="0" xfId="0" applyNumberFormat="1"/>
    <xf numFmtId="4" fontId="0" fillId="0" borderId="0" xfId="0" applyNumberForma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8"/>
  <sheetViews>
    <sheetView tabSelected="1" topLeftCell="A11" workbookViewId="0">
      <selection activeCell="V17" sqref="A16:V17"/>
    </sheetView>
  </sheetViews>
  <sheetFormatPr baseColWidth="10" defaultRowHeight="14.4" x14ac:dyDescent="0.3"/>
  <cols>
    <col min="1" max="1" width="4.5546875" customWidth="1"/>
    <col min="2" max="2" width="52.5546875" customWidth="1"/>
    <col min="3" max="7" width="14.109375" bestFit="1" customWidth="1"/>
  </cols>
  <sheetData>
    <row r="1" spans="1:21" x14ac:dyDescent="0.3">
      <c r="A1" s="26" t="s">
        <v>0</v>
      </c>
    </row>
    <row r="2" spans="1:21" x14ac:dyDescent="0.3">
      <c r="A2" s="26" t="s">
        <v>1</v>
      </c>
    </row>
    <row r="3" spans="1:21" x14ac:dyDescent="0.3">
      <c r="A3" s="26" t="s">
        <v>2</v>
      </c>
    </row>
    <row r="6" spans="1:21" ht="15.6" x14ac:dyDescent="0.3">
      <c r="A6" s="1" t="s">
        <v>48</v>
      </c>
    </row>
    <row r="7" spans="1:21" x14ac:dyDescent="0.3">
      <c r="A7" t="s">
        <v>49</v>
      </c>
    </row>
    <row r="8" spans="1:21" ht="60" customHeight="1" x14ac:dyDescent="0.3">
      <c r="A8" s="28" t="s">
        <v>3</v>
      </c>
      <c r="B8" s="28" t="s">
        <v>4</v>
      </c>
      <c r="C8" s="2" t="s">
        <v>5</v>
      </c>
      <c r="D8" s="27" t="s">
        <v>6</v>
      </c>
      <c r="E8" s="27"/>
      <c r="F8" s="27" t="s">
        <v>7</v>
      </c>
      <c r="G8" s="27"/>
      <c r="H8" s="27" t="s">
        <v>8</v>
      </c>
      <c r="I8" s="27"/>
      <c r="J8" s="27" t="s">
        <v>9</v>
      </c>
      <c r="K8" s="27"/>
      <c r="L8" s="27" t="s">
        <v>10</v>
      </c>
      <c r="M8" s="27"/>
      <c r="N8" s="27" t="s">
        <v>11</v>
      </c>
      <c r="O8" s="27"/>
      <c r="P8" s="27" t="s">
        <v>12</v>
      </c>
      <c r="Q8" s="27"/>
      <c r="R8" s="27" t="s">
        <v>13</v>
      </c>
      <c r="S8" s="27"/>
      <c r="T8" s="27" t="s">
        <v>13</v>
      </c>
      <c r="U8" s="27"/>
    </row>
    <row r="9" spans="1:21" x14ac:dyDescent="0.3">
      <c r="A9" s="28"/>
      <c r="B9" s="28"/>
      <c r="C9" s="3"/>
      <c r="D9" s="3" t="s">
        <v>14</v>
      </c>
      <c r="E9" s="3" t="s">
        <v>15</v>
      </c>
      <c r="F9" s="3" t="s">
        <v>14</v>
      </c>
      <c r="G9" s="3" t="s">
        <v>15</v>
      </c>
      <c r="H9" s="3" t="s">
        <v>14</v>
      </c>
      <c r="I9" s="3" t="s">
        <v>15</v>
      </c>
      <c r="J9" s="3" t="s">
        <v>14</v>
      </c>
      <c r="K9" s="3" t="s">
        <v>15</v>
      </c>
      <c r="L9" s="3" t="s">
        <v>16</v>
      </c>
      <c r="M9" s="3" t="s">
        <v>15</v>
      </c>
      <c r="N9" s="3" t="s">
        <v>16</v>
      </c>
      <c r="O9" s="3" t="s">
        <v>15</v>
      </c>
      <c r="P9" s="3" t="s">
        <v>14</v>
      </c>
      <c r="Q9" s="3" t="s">
        <v>15</v>
      </c>
      <c r="R9" s="3" t="s">
        <v>14</v>
      </c>
      <c r="S9" s="3" t="s">
        <v>15</v>
      </c>
      <c r="T9" s="3" t="s">
        <v>14</v>
      </c>
      <c r="U9" s="3" t="s">
        <v>15</v>
      </c>
    </row>
    <row r="10" spans="1:21" x14ac:dyDescent="0.3">
      <c r="A10">
        <v>1</v>
      </c>
      <c r="B10" s="4" t="s">
        <v>17</v>
      </c>
      <c r="C10" s="5">
        <v>8200</v>
      </c>
      <c r="D10" s="6"/>
      <c r="E10" s="6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>
        <v>2</v>
      </c>
      <c r="B11" s="4" t="s">
        <v>18</v>
      </c>
      <c r="C11" s="5">
        <v>635500</v>
      </c>
      <c r="D11" s="6"/>
      <c r="E11" s="6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3">
      <c r="A12">
        <v>3</v>
      </c>
      <c r="B12" s="4" t="s">
        <v>19</v>
      </c>
      <c r="C12" s="5">
        <v>3040000</v>
      </c>
      <c r="D12" s="6"/>
      <c r="E12" s="6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3">
      <c r="A13">
        <v>4</v>
      </c>
      <c r="B13" s="4" t="s">
        <v>20</v>
      </c>
      <c r="C13" s="5">
        <v>1640500</v>
      </c>
      <c r="D13" s="6"/>
      <c r="E13" s="6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3">
      <c r="A14">
        <v>5</v>
      </c>
      <c r="B14" s="8" t="s">
        <v>21</v>
      </c>
      <c r="C14" s="5">
        <v>850000</v>
      </c>
      <c r="E14" s="9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3">
      <c r="A15">
        <v>6</v>
      </c>
      <c r="B15" s="8" t="s">
        <v>22</v>
      </c>
      <c r="C15" s="5">
        <v>480000</v>
      </c>
      <c r="D15" s="6"/>
      <c r="E15" s="6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3">
      <c r="A16">
        <v>7</v>
      </c>
      <c r="B16" s="4" t="s">
        <v>23</v>
      </c>
      <c r="C16" s="5">
        <v>2130400</v>
      </c>
      <c r="D16" s="6"/>
      <c r="E16" s="6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3">
      <c r="A17">
        <v>8</v>
      </c>
      <c r="B17" s="4" t="s">
        <v>24</v>
      </c>
      <c r="C17" s="5">
        <v>2140000</v>
      </c>
      <c r="D17" s="6"/>
      <c r="E17" s="6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3">
      <c r="A18">
        <v>9</v>
      </c>
      <c r="B18" s="4" t="s">
        <v>25</v>
      </c>
      <c r="C18" s="5">
        <v>400000</v>
      </c>
      <c r="D18" s="6"/>
      <c r="E18" s="10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3">
      <c r="A19">
        <v>10</v>
      </c>
      <c r="B19" s="4" t="s">
        <v>26</v>
      </c>
      <c r="C19" s="5">
        <v>800000</v>
      </c>
      <c r="D19" s="6"/>
      <c r="E19" s="10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3">
      <c r="A20">
        <v>11</v>
      </c>
      <c r="B20" s="8" t="s">
        <v>27</v>
      </c>
      <c r="C20" s="5">
        <v>1600000</v>
      </c>
      <c r="E20" s="6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3">
      <c r="A21">
        <v>12</v>
      </c>
      <c r="B21" s="8" t="s">
        <v>28</v>
      </c>
      <c r="C21" s="5">
        <v>1600000</v>
      </c>
      <c r="D21" s="6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3">
      <c r="A22">
        <v>13</v>
      </c>
      <c r="B22" s="4" t="s">
        <v>29</v>
      </c>
      <c r="C22" s="5">
        <v>20000</v>
      </c>
      <c r="D22" s="6"/>
      <c r="E22" s="6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3">
      <c r="A23">
        <v>14</v>
      </c>
      <c r="B23" s="4" t="s">
        <v>30</v>
      </c>
      <c r="C23" s="5">
        <v>4000000</v>
      </c>
      <c r="D23" s="6"/>
      <c r="E23" s="6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3">
      <c r="A24">
        <v>15</v>
      </c>
      <c r="B24" s="4" t="s">
        <v>31</v>
      </c>
      <c r="C24" s="5">
        <v>10000000</v>
      </c>
      <c r="D24" s="6"/>
      <c r="E24" s="6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3">
      <c r="A25">
        <v>16</v>
      </c>
      <c r="B25" s="4" t="s">
        <v>32</v>
      </c>
      <c r="C25" s="5">
        <v>2100000</v>
      </c>
      <c r="D25" s="6"/>
      <c r="E25" s="6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3">
      <c r="A26">
        <v>17</v>
      </c>
      <c r="B26" s="4" t="s">
        <v>33</v>
      </c>
      <c r="C26" s="5">
        <v>850000</v>
      </c>
      <c r="D26" s="6"/>
      <c r="E26" s="6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3">
      <c r="A27">
        <v>18</v>
      </c>
      <c r="B27" s="4" t="s">
        <v>34</v>
      </c>
      <c r="C27" s="5">
        <v>675555</v>
      </c>
      <c r="D27" s="6"/>
      <c r="E27" s="6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3">
      <c r="A28">
        <v>19</v>
      </c>
      <c r="B28" s="4" t="s">
        <v>35</v>
      </c>
      <c r="C28" s="5">
        <v>213500</v>
      </c>
      <c r="D28" s="6"/>
      <c r="E28" s="6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3">
      <c r="A29">
        <v>20</v>
      </c>
      <c r="B29" s="4" t="s">
        <v>36</v>
      </c>
      <c r="C29" s="5">
        <v>3000000</v>
      </c>
      <c r="D29" s="6"/>
      <c r="E29" s="6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3">
      <c r="A30">
        <v>21</v>
      </c>
      <c r="B30" s="4" t="s">
        <v>37</v>
      </c>
      <c r="C30" s="5">
        <v>1140500</v>
      </c>
      <c r="D30" s="6"/>
      <c r="E30" s="6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3">
      <c r="A31">
        <v>22</v>
      </c>
      <c r="B31" s="4" t="s">
        <v>38</v>
      </c>
      <c r="C31" s="5">
        <v>830000</v>
      </c>
      <c r="D31" s="6"/>
      <c r="E31" s="6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3">
      <c r="A32">
        <v>23</v>
      </c>
      <c r="B32" s="4" t="s">
        <v>39</v>
      </c>
      <c r="C32" s="5">
        <v>2430000</v>
      </c>
      <c r="D32" s="6"/>
      <c r="E32" s="6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3">
      <c r="A33">
        <v>24</v>
      </c>
      <c r="B33" s="4" t="s">
        <v>40</v>
      </c>
      <c r="C33" s="5">
        <v>330000</v>
      </c>
      <c r="D33" s="6"/>
      <c r="E33" s="6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3">
      <c r="A34">
        <v>25</v>
      </c>
      <c r="B34" s="4" t="s">
        <v>41</v>
      </c>
      <c r="C34" s="5">
        <v>100000</v>
      </c>
      <c r="D34" s="6"/>
      <c r="E34" s="6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3">
      <c r="A35">
        <v>26</v>
      </c>
      <c r="B35" s="4" t="s">
        <v>42</v>
      </c>
      <c r="C35" s="5">
        <v>89000</v>
      </c>
      <c r="D35" s="6"/>
      <c r="E35" s="6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3">
      <c r="A36">
        <v>27</v>
      </c>
      <c r="B36" s="4" t="s">
        <v>43</v>
      </c>
      <c r="C36" s="5">
        <v>30000</v>
      </c>
      <c r="D36" s="6"/>
      <c r="E36" s="6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3">
      <c r="A37">
        <v>28</v>
      </c>
      <c r="B37" s="4" t="s">
        <v>44</v>
      </c>
      <c r="C37" s="5">
        <v>80000</v>
      </c>
      <c r="D37" s="6"/>
      <c r="E37" s="6"/>
      <c r="F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3">
      <c r="A38">
        <v>29</v>
      </c>
      <c r="B38" s="4" t="s">
        <v>45</v>
      </c>
      <c r="C38" s="5">
        <v>3375245</v>
      </c>
      <c r="D38" s="6"/>
      <c r="E38" s="6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5" thickBot="1" x14ac:dyDescent="0.35">
      <c r="A39">
        <v>30</v>
      </c>
      <c r="B39" s="4" t="s">
        <v>46</v>
      </c>
      <c r="C39" s="11">
        <v>9000000</v>
      </c>
      <c r="D39" s="12"/>
      <c r="E39" s="12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6.2" thickBot="1" x14ac:dyDescent="0.35">
      <c r="A40">
        <v>31</v>
      </c>
      <c r="B40" s="4" t="s">
        <v>47</v>
      </c>
      <c r="C40" s="13">
        <f>SUM(C10:C39)</f>
        <v>53588400</v>
      </c>
      <c r="D40" s="13"/>
      <c r="E40" s="13"/>
      <c r="F40" s="14"/>
      <c r="G40" s="1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3">
      <c r="A41">
        <v>32</v>
      </c>
      <c r="B41" s="15"/>
      <c r="C41" s="16"/>
      <c r="D41" s="16"/>
      <c r="E41" s="16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3">
      <c r="A42">
        <v>33</v>
      </c>
      <c r="B42" s="4"/>
      <c r="C42" s="6"/>
      <c r="D42" s="6"/>
      <c r="E42" s="6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3">
      <c r="A43">
        <v>34</v>
      </c>
      <c r="B43" s="4"/>
      <c r="C43" s="6"/>
      <c r="D43" s="6"/>
      <c r="E43" s="6"/>
      <c r="F43" s="1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3">
      <c r="A44">
        <v>35</v>
      </c>
      <c r="B44" s="4"/>
      <c r="C44" s="6"/>
      <c r="D44" s="6"/>
      <c r="E44" s="6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x14ac:dyDescent="0.3">
      <c r="A45">
        <v>36</v>
      </c>
      <c r="B45" s="4"/>
      <c r="C45" s="6"/>
      <c r="D45" s="6"/>
      <c r="E45" s="6"/>
      <c r="F45" s="18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x14ac:dyDescent="0.3">
      <c r="A46">
        <v>37</v>
      </c>
      <c r="B46" s="4"/>
      <c r="C46" s="6"/>
      <c r="D46" s="6"/>
      <c r="E46" s="6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x14ac:dyDescent="0.3">
      <c r="A47">
        <v>38</v>
      </c>
      <c r="B47" s="4"/>
      <c r="C47" s="6"/>
      <c r="D47" s="6"/>
      <c r="E47" s="6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x14ac:dyDescent="0.3">
      <c r="A48">
        <v>39</v>
      </c>
      <c r="B48" s="4"/>
      <c r="C48" s="6"/>
      <c r="D48" s="6"/>
      <c r="E48" s="6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x14ac:dyDescent="0.3">
      <c r="A49">
        <v>40</v>
      </c>
      <c r="B49" s="4"/>
      <c r="C49" s="6"/>
      <c r="D49" s="6"/>
      <c r="E49" s="6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x14ac:dyDescent="0.3">
      <c r="A50">
        <v>41</v>
      </c>
      <c r="B50" s="4"/>
      <c r="C50" s="6"/>
      <c r="D50" s="6"/>
      <c r="E50" s="6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x14ac:dyDescent="0.3">
      <c r="A51">
        <v>42</v>
      </c>
      <c r="B51" s="4"/>
      <c r="C51" s="6"/>
      <c r="D51" s="6"/>
      <c r="E51" s="6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x14ac:dyDescent="0.3">
      <c r="A52">
        <v>43</v>
      </c>
      <c r="B52" s="4"/>
      <c r="C52" s="6"/>
      <c r="D52" s="6"/>
      <c r="E52" s="6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x14ac:dyDescent="0.3">
      <c r="A53">
        <v>44</v>
      </c>
      <c r="B53" s="4"/>
      <c r="C53" s="6"/>
      <c r="D53" s="6"/>
      <c r="E53" s="6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x14ac:dyDescent="0.3">
      <c r="A54">
        <v>45</v>
      </c>
      <c r="B54" s="4"/>
      <c r="C54" s="6"/>
      <c r="D54" s="6"/>
      <c r="E54" s="6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x14ac:dyDescent="0.3">
      <c r="A55">
        <v>46</v>
      </c>
      <c r="B55" s="4"/>
      <c r="C55" s="6"/>
      <c r="D55" s="6"/>
      <c r="E55" s="6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x14ac:dyDescent="0.3">
      <c r="A56">
        <v>47</v>
      </c>
      <c r="B56" s="4"/>
      <c r="C56" s="6"/>
      <c r="D56" s="6"/>
      <c r="E56" s="6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x14ac:dyDescent="0.3">
      <c r="A57">
        <v>48</v>
      </c>
      <c r="B57" s="4"/>
      <c r="C57" s="6"/>
      <c r="D57" s="6"/>
      <c r="E57" s="6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x14ac:dyDescent="0.3">
      <c r="A58">
        <v>49</v>
      </c>
      <c r="B58" s="4"/>
      <c r="C58" s="6"/>
      <c r="D58" s="6"/>
      <c r="E58" s="6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x14ac:dyDescent="0.3">
      <c r="A59">
        <v>50</v>
      </c>
      <c r="B59" s="4"/>
      <c r="C59" s="19"/>
      <c r="D59" s="6"/>
      <c r="E59" s="6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x14ac:dyDescent="0.3">
      <c r="A60">
        <v>51</v>
      </c>
      <c r="B60" s="4"/>
      <c r="C60" s="6"/>
      <c r="D60" s="6"/>
      <c r="E60" s="6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x14ac:dyDescent="0.3">
      <c r="A61">
        <v>52</v>
      </c>
      <c r="B61" s="4"/>
      <c r="C61" s="6"/>
      <c r="D61" s="6"/>
      <c r="E61" s="6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x14ac:dyDescent="0.3">
      <c r="A62">
        <v>53</v>
      </c>
      <c r="B62" s="4"/>
      <c r="C62" s="6"/>
      <c r="D62" s="6"/>
      <c r="E62" s="6"/>
      <c r="F62" s="7"/>
      <c r="G62" s="2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x14ac:dyDescent="0.3">
      <c r="A63">
        <v>54</v>
      </c>
      <c r="B63" s="4"/>
      <c r="C63" s="6"/>
      <c r="D63" s="6"/>
      <c r="E63" s="6"/>
      <c r="F63" s="7"/>
      <c r="G63" s="2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x14ac:dyDescent="0.3">
      <c r="A64">
        <v>55</v>
      </c>
      <c r="B64" s="4"/>
      <c r="C64" s="6"/>
      <c r="D64" s="6"/>
      <c r="E64" s="6"/>
      <c r="F64" s="7"/>
      <c r="G64" s="2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x14ac:dyDescent="0.3">
      <c r="A65">
        <v>56</v>
      </c>
      <c r="B65" s="4"/>
      <c r="C65" s="6"/>
      <c r="D65" s="6"/>
      <c r="E65" s="6"/>
      <c r="F65" s="7"/>
      <c r="G65" s="2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x14ac:dyDescent="0.3">
      <c r="A66">
        <v>57</v>
      </c>
      <c r="B66" s="4"/>
      <c r="C66" s="6"/>
      <c r="D66" s="6"/>
      <c r="E66" s="6"/>
      <c r="F66" s="7"/>
      <c r="G66" s="2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x14ac:dyDescent="0.3">
      <c r="A67">
        <v>58</v>
      </c>
      <c r="B67" s="4"/>
      <c r="C67" s="6"/>
      <c r="D67" s="6"/>
      <c r="E67" s="6"/>
      <c r="F67" s="7"/>
      <c r="G67" s="2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x14ac:dyDescent="0.3">
      <c r="A68">
        <v>59</v>
      </c>
      <c r="B68" s="4"/>
      <c r="C68" s="6"/>
      <c r="D68" s="6"/>
      <c r="E68" s="6"/>
      <c r="F68" s="7"/>
      <c r="G68" s="2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x14ac:dyDescent="0.3">
      <c r="A69">
        <v>60</v>
      </c>
      <c r="B69" s="4"/>
      <c r="C69" s="6"/>
      <c r="D69" s="6"/>
      <c r="E69" s="6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x14ac:dyDescent="0.3">
      <c r="A70">
        <v>61</v>
      </c>
      <c r="B70" s="4"/>
      <c r="C70" s="6"/>
      <c r="D70" s="6"/>
      <c r="E70" s="6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x14ac:dyDescent="0.3">
      <c r="A71">
        <v>62</v>
      </c>
      <c r="B71" s="4"/>
      <c r="C71" s="6"/>
      <c r="D71" s="6"/>
      <c r="E71" s="6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x14ac:dyDescent="0.3">
      <c r="A72">
        <v>63</v>
      </c>
      <c r="B72" s="4"/>
      <c r="C72" s="6"/>
      <c r="D72" s="6"/>
      <c r="E72" s="6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x14ac:dyDescent="0.3">
      <c r="A73">
        <v>64</v>
      </c>
      <c r="B73" s="21"/>
      <c r="C73" s="6"/>
      <c r="D73" s="6"/>
      <c r="E73" s="6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x14ac:dyDescent="0.3">
      <c r="A74">
        <v>65</v>
      </c>
      <c r="B74" s="4"/>
      <c r="C74" s="6"/>
      <c r="D74" s="6"/>
      <c r="E74" s="6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x14ac:dyDescent="0.3">
      <c r="A75">
        <v>66</v>
      </c>
      <c r="B75" s="4"/>
      <c r="C75" s="6"/>
      <c r="D75" s="6"/>
      <c r="E75" s="6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x14ac:dyDescent="0.3">
      <c r="A76">
        <v>67</v>
      </c>
      <c r="B76" s="4"/>
      <c r="C76" s="6"/>
      <c r="D76" s="6"/>
      <c r="E76" s="6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x14ac:dyDescent="0.3">
      <c r="A77">
        <v>68</v>
      </c>
      <c r="B77" s="4"/>
      <c r="C77" s="6"/>
      <c r="D77" s="6"/>
      <c r="E77" s="6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x14ac:dyDescent="0.3">
      <c r="A78">
        <v>69</v>
      </c>
      <c r="B78" s="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x14ac:dyDescent="0.3">
      <c r="A79">
        <v>70</v>
      </c>
      <c r="B79" s="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x14ac:dyDescent="0.3">
      <c r="A80">
        <v>71</v>
      </c>
      <c r="B80" s="4"/>
      <c r="C80" s="6"/>
      <c r="D80" s="6"/>
      <c r="E80" s="6"/>
      <c r="F80" s="22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x14ac:dyDescent="0.3">
      <c r="A81">
        <v>72</v>
      </c>
      <c r="B81" s="4"/>
      <c r="C81" s="6"/>
      <c r="D81" s="6"/>
      <c r="E81" s="6"/>
      <c r="F81" s="7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6.2" thickBot="1" x14ac:dyDescent="0.35">
      <c r="A82">
        <v>73</v>
      </c>
      <c r="B82" s="4"/>
      <c r="C82" s="6"/>
      <c r="D82" s="6"/>
      <c r="E82" s="6"/>
      <c r="F82" s="13"/>
      <c r="G82" s="13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5" thickBot="1" x14ac:dyDescent="0.35">
      <c r="A83">
        <v>74</v>
      </c>
      <c r="B83" s="4"/>
      <c r="C83" s="6"/>
      <c r="D83" s="6"/>
      <c r="E83" s="6"/>
      <c r="F83" s="23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5" thickTop="1" x14ac:dyDescent="0.3">
      <c r="A84">
        <v>75</v>
      </c>
      <c r="B84" s="15"/>
      <c r="C84" s="6"/>
      <c r="D84" s="6"/>
      <c r="E84" s="6"/>
      <c r="F84" s="1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x14ac:dyDescent="0.3">
      <c r="A85">
        <v>76</v>
      </c>
      <c r="B85" s="1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x14ac:dyDescent="0.3">
      <c r="A86">
        <v>77</v>
      </c>
      <c r="B86" s="1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x14ac:dyDescent="0.3">
      <c r="A87">
        <v>78</v>
      </c>
      <c r="B87" s="1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x14ac:dyDescent="0.3">
      <c r="A88">
        <v>79</v>
      </c>
      <c r="B88" s="1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x14ac:dyDescent="0.3">
      <c r="A89">
        <v>80</v>
      </c>
      <c r="B89" s="1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x14ac:dyDescent="0.3">
      <c r="A90">
        <v>81</v>
      </c>
      <c r="B90" s="1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x14ac:dyDescent="0.3">
      <c r="A91">
        <v>82</v>
      </c>
      <c r="B91" s="1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x14ac:dyDescent="0.3">
      <c r="A92">
        <v>83</v>
      </c>
      <c r="B92" s="1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x14ac:dyDescent="0.3">
      <c r="A93">
        <v>84</v>
      </c>
      <c r="B93" s="1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x14ac:dyDescent="0.3">
      <c r="A94">
        <v>85</v>
      </c>
      <c r="B94" s="1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x14ac:dyDescent="0.3">
      <c r="A95">
        <v>86</v>
      </c>
      <c r="B95" s="1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x14ac:dyDescent="0.3">
      <c r="A96">
        <v>87</v>
      </c>
      <c r="B96" s="1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x14ac:dyDescent="0.3">
      <c r="A97">
        <v>88</v>
      </c>
      <c r="B97" s="1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x14ac:dyDescent="0.3">
      <c r="A98">
        <v>89</v>
      </c>
      <c r="B98" s="1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x14ac:dyDescent="0.3">
      <c r="A99">
        <v>90</v>
      </c>
      <c r="B99" s="1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x14ac:dyDescent="0.3">
      <c r="A100">
        <v>91</v>
      </c>
      <c r="B100" s="1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x14ac:dyDescent="0.3">
      <c r="A101">
        <v>92</v>
      </c>
      <c r="B101" s="1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x14ac:dyDescent="0.3">
      <c r="A102">
        <v>93</v>
      </c>
      <c r="B102" s="1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x14ac:dyDescent="0.3">
      <c r="A103">
        <v>94</v>
      </c>
      <c r="B103" s="1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x14ac:dyDescent="0.3">
      <c r="A104">
        <v>95</v>
      </c>
      <c r="B104" s="1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x14ac:dyDescent="0.3">
      <c r="A105">
        <v>96</v>
      </c>
      <c r="B105" s="4"/>
      <c r="C105" s="6"/>
      <c r="D105" s="6"/>
      <c r="E105" s="6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x14ac:dyDescent="0.3">
      <c r="A106">
        <v>97</v>
      </c>
      <c r="B106" s="1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x14ac:dyDescent="0.3">
      <c r="A107">
        <v>98</v>
      </c>
      <c r="B107" s="1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x14ac:dyDescent="0.3">
      <c r="A108">
        <v>99</v>
      </c>
      <c r="B108" s="1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x14ac:dyDescent="0.3">
      <c r="A109">
        <v>100</v>
      </c>
      <c r="B109" s="1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x14ac:dyDescent="0.3">
      <c r="B111" s="24"/>
    </row>
    <row r="112" spans="1:21" x14ac:dyDescent="0.3">
      <c r="B112" s="24"/>
    </row>
    <row r="113" spans="2:2" x14ac:dyDescent="0.3">
      <c r="B113" s="24"/>
    </row>
    <row r="114" spans="2:2" x14ac:dyDescent="0.3">
      <c r="B114" s="24"/>
    </row>
    <row r="115" spans="2:2" x14ac:dyDescent="0.3">
      <c r="B115" s="24"/>
    </row>
    <row r="116" spans="2:2" x14ac:dyDescent="0.3">
      <c r="B116" s="24"/>
    </row>
    <row r="117" spans="2:2" x14ac:dyDescent="0.3">
      <c r="B117" s="24"/>
    </row>
    <row r="118" spans="2:2" x14ac:dyDescent="0.3">
      <c r="B118" s="24"/>
    </row>
    <row r="119" spans="2:2" x14ac:dyDescent="0.3">
      <c r="B119" s="24"/>
    </row>
    <row r="120" spans="2:2" x14ac:dyDescent="0.3">
      <c r="B120" s="24"/>
    </row>
    <row r="121" spans="2:2" x14ac:dyDescent="0.3">
      <c r="B121" s="24"/>
    </row>
    <row r="122" spans="2:2" x14ac:dyDescent="0.3">
      <c r="B122" s="24"/>
    </row>
    <row r="123" spans="2:2" x14ac:dyDescent="0.3">
      <c r="B123" s="24"/>
    </row>
    <row r="124" spans="2:2" x14ac:dyDescent="0.3">
      <c r="B124" s="24"/>
    </row>
    <row r="125" spans="2:2" x14ac:dyDescent="0.3">
      <c r="B125" s="24"/>
    </row>
    <row r="126" spans="2:2" x14ac:dyDescent="0.3">
      <c r="B126" s="24"/>
    </row>
    <row r="127" spans="2:2" x14ac:dyDescent="0.3">
      <c r="B127" s="24"/>
    </row>
    <row r="128" spans="2:2" x14ac:dyDescent="0.3">
      <c r="B128" s="24"/>
    </row>
  </sheetData>
  <autoFilter ref="D1:D128"/>
  <mergeCells count="11">
    <mergeCell ref="J8:K8"/>
    <mergeCell ref="A8:A9"/>
    <mergeCell ref="B8:B9"/>
    <mergeCell ref="D8:E8"/>
    <mergeCell ref="F8:G8"/>
    <mergeCell ref="H8:I8"/>
    <mergeCell ref="L8:M8"/>
    <mergeCell ref="N8:O8"/>
    <mergeCell ref="P8:Q8"/>
    <mergeCell ref="R8:S8"/>
    <mergeCell ref="T8:U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8"/>
  <sheetViews>
    <sheetView topLeftCell="A16" workbookViewId="0">
      <selection activeCell="C14" sqref="C14"/>
    </sheetView>
  </sheetViews>
  <sheetFormatPr baseColWidth="10" defaultRowHeight="14.4" x14ac:dyDescent="0.3"/>
  <cols>
    <col min="1" max="1" width="4.5546875" customWidth="1"/>
    <col min="2" max="2" width="52.5546875" customWidth="1"/>
    <col min="3" max="7" width="14.109375" bestFit="1" customWidth="1"/>
  </cols>
  <sheetData>
    <row r="1" spans="1:21" x14ac:dyDescent="0.3">
      <c r="A1" s="26" t="s">
        <v>0</v>
      </c>
    </row>
    <row r="2" spans="1:21" x14ac:dyDescent="0.3">
      <c r="A2" s="26" t="s">
        <v>1</v>
      </c>
    </row>
    <row r="3" spans="1:21" x14ac:dyDescent="0.3">
      <c r="A3" s="26" t="s">
        <v>2</v>
      </c>
    </row>
    <row r="6" spans="1:21" ht="15.6" x14ac:dyDescent="0.3">
      <c r="A6" s="1" t="s">
        <v>48</v>
      </c>
    </row>
    <row r="7" spans="1:21" x14ac:dyDescent="0.3">
      <c r="A7" t="s">
        <v>49</v>
      </c>
    </row>
    <row r="8" spans="1:21" ht="60" customHeight="1" x14ac:dyDescent="0.3">
      <c r="A8" s="28" t="s">
        <v>3</v>
      </c>
      <c r="B8" s="28" t="s">
        <v>4</v>
      </c>
      <c r="C8" s="2" t="s">
        <v>5</v>
      </c>
      <c r="D8" s="27" t="s">
        <v>6</v>
      </c>
      <c r="E8" s="27"/>
      <c r="F8" s="27" t="s">
        <v>7</v>
      </c>
      <c r="G8" s="27"/>
      <c r="H8" s="27" t="s">
        <v>8</v>
      </c>
      <c r="I8" s="27"/>
      <c r="J8" s="27" t="s">
        <v>9</v>
      </c>
      <c r="K8" s="27"/>
      <c r="L8" s="27" t="s">
        <v>10</v>
      </c>
      <c r="M8" s="27"/>
      <c r="N8" s="27" t="s">
        <v>11</v>
      </c>
      <c r="O8" s="27"/>
      <c r="P8" s="27" t="s">
        <v>12</v>
      </c>
      <c r="Q8" s="27"/>
      <c r="R8" s="27" t="s">
        <v>13</v>
      </c>
      <c r="S8" s="27"/>
      <c r="T8" s="27" t="s">
        <v>13</v>
      </c>
      <c r="U8" s="27"/>
    </row>
    <row r="9" spans="1:21" x14ac:dyDescent="0.3">
      <c r="A9" s="28"/>
      <c r="B9" s="28"/>
      <c r="C9" s="3"/>
      <c r="D9" s="3" t="s">
        <v>14</v>
      </c>
      <c r="E9" s="3" t="s">
        <v>15</v>
      </c>
      <c r="F9" s="3" t="s">
        <v>14</v>
      </c>
      <c r="G9" s="3" t="s">
        <v>15</v>
      </c>
      <c r="H9" s="3" t="s">
        <v>14</v>
      </c>
      <c r="I9" s="3" t="s">
        <v>15</v>
      </c>
      <c r="J9" s="3" t="s">
        <v>14</v>
      </c>
      <c r="K9" s="3" t="s">
        <v>15</v>
      </c>
      <c r="L9" s="3" t="s">
        <v>16</v>
      </c>
      <c r="M9" s="3" t="s">
        <v>15</v>
      </c>
      <c r="N9" s="3" t="s">
        <v>16</v>
      </c>
      <c r="O9" s="3" t="s">
        <v>15</v>
      </c>
      <c r="P9" s="3" t="s">
        <v>14</v>
      </c>
      <c r="Q9" s="3" t="s">
        <v>15</v>
      </c>
      <c r="R9" s="3" t="s">
        <v>14</v>
      </c>
      <c r="S9" s="3" t="s">
        <v>15</v>
      </c>
      <c r="T9" s="3" t="s">
        <v>14</v>
      </c>
      <c r="U9" s="3" t="s">
        <v>15</v>
      </c>
    </row>
    <row r="10" spans="1:21" x14ac:dyDescent="0.3">
      <c r="A10">
        <v>1</v>
      </c>
      <c r="B10" s="4" t="s">
        <v>17</v>
      </c>
      <c r="C10" s="5">
        <v>8200</v>
      </c>
      <c r="D10" s="6">
        <v>8200</v>
      </c>
      <c r="E10" s="6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>
        <v>2</v>
      </c>
      <c r="B11" s="4" t="s">
        <v>18</v>
      </c>
      <c r="C11" s="5">
        <v>635500</v>
      </c>
      <c r="D11" s="6">
        <v>635500</v>
      </c>
      <c r="E11" s="6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3">
      <c r="A12">
        <v>3</v>
      </c>
      <c r="B12" s="4" t="s">
        <v>19</v>
      </c>
      <c r="C12" s="5">
        <v>3040000</v>
      </c>
      <c r="D12" s="6">
        <v>3040000</v>
      </c>
      <c r="E12" s="6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3">
      <c r="A13">
        <v>4</v>
      </c>
      <c r="B13" s="4" t="s">
        <v>20</v>
      </c>
      <c r="C13" s="5">
        <v>1640500</v>
      </c>
      <c r="D13" s="6">
        <v>1640500</v>
      </c>
      <c r="E13" s="6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3">
      <c r="A14">
        <v>5</v>
      </c>
      <c r="B14" s="8" t="s">
        <v>21</v>
      </c>
      <c r="C14" s="5">
        <v>850000</v>
      </c>
      <c r="E14" s="9">
        <v>850000</v>
      </c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3">
      <c r="A15">
        <v>6</v>
      </c>
      <c r="B15" s="8" t="s">
        <v>22</v>
      </c>
      <c r="C15" s="5">
        <v>480000</v>
      </c>
      <c r="D15" s="6">
        <v>480000</v>
      </c>
      <c r="E15" s="6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3">
      <c r="A16">
        <v>7</v>
      </c>
      <c r="B16" s="4" t="s">
        <v>23</v>
      </c>
      <c r="C16" s="5">
        <v>2130400</v>
      </c>
      <c r="D16" s="6"/>
      <c r="E16" s="6">
        <v>2130400</v>
      </c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3">
      <c r="A17">
        <v>8</v>
      </c>
      <c r="B17" s="4" t="s">
        <v>24</v>
      </c>
      <c r="C17" s="5">
        <v>2140000</v>
      </c>
      <c r="D17" s="6">
        <v>2140000</v>
      </c>
      <c r="E17" s="6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3">
      <c r="A18">
        <v>9</v>
      </c>
      <c r="B18" s="4" t="s">
        <v>25</v>
      </c>
      <c r="C18" s="5">
        <v>400000</v>
      </c>
      <c r="D18" s="6">
        <v>400000</v>
      </c>
      <c r="E18" s="10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3">
      <c r="A19">
        <v>10</v>
      </c>
      <c r="B19" s="4" t="s">
        <v>26</v>
      </c>
      <c r="C19" s="5">
        <v>800000</v>
      </c>
      <c r="D19" s="6">
        <v>800000</v>
      </c>
      <c r="E19" s="10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3">
      <c r="A20">
        <v>11</v>
      </c>
      <c r="B20" s="8" t="s">
        <v>27</v>
      </c>
      <c r="C20" s="5">
        <v>1600000</v>
      </c>
      <c r="E20" s="6">
        <v>1600000</v>
      </c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3">
      <c r="A21">
        <v>12</v>
      </c>
      <c r="B21" s="8" t="s">
        <v>28</v>
      </c>
      <c r="C21" s="5">
        <v>1600000</v>
      </c>
      <c r="D21" s="6">
        <v>1600000</v>
      </c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3">
      <c r="A22">
        <v>13</v>
      </c>
      <c r="B22" s="4" t="s">
        <v>29</v>
      </c>
      <c r="C22" s="5">
        <v>20000</v>
      </c>
      <c r="D22" s="6">
        <v>20000</v>
      </c>
      <c r="E22" s="6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3">
      <c r="A23">
        <v>14</v>
      </c>
      <c r="B23" s="4" t="s">
        <v>30</v>
      </c>
      <c r="C23" s="5">
        <v>4000000</v>
      </c>
      <c r="D23" s="6"/>
      <c r="E23" s="6">
        <v>4000000</v>
      </c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3">
      <c r="A24">
        <v>15</v>
      </c>
      <c r="B24" s="4" t="s">
        <v>31</v>
      </c>
      <c r="C24" s="5">
        <v>10000000</v>
      </c>
      <c r="D24" s="6">
        <v>10000000</v>
      </c>
      <c r="E24" s="6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3">
      <c r="A25">
        <v>16</v>
      </c>
      <c r="B25" s="4" t="s">
        <v>32</v>
      </c>
      <c r="C25" s="5">
        <v>2100000</v>
      </c>
      <c r="D25" s="6">
        <v>2100000</v>
      </c>
      <c r="E25" s="6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3">
      <c r="A26">
        <v>17</v>
      </c>
      <c r="B26" s="4" t="s">
        <v>33</v>
      </c>
      <c r="C26" s="5">
        <v>850000</v>
      </c>
      <c r="D26" s="6">
        <v>850000</v>
      </c>
      <c r="E26" s="6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3">
      <c r="A27">
        <v>18</v>
      </c>
      <c r="B27" s="4" t="s">
        <v>34</v>
      </c>
      <c r="C27" s="5">
        <v>675555</v>
      </c>
      <c r="D27" s="6"/>
      <c r="E27" s="6">
        <v>675555</v>
      </c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3">
      <c r="A28">
        <v>19</v>
      </c>
      <c r="B28" s="4" t="s">
        <v>35</v>
      </c>
      <c r="C28" s="5">
        <v>213500</v>
      </c>
      <c r="D28" s="6"/>
      <c r="E28" s="6">
        <v>213500</v>
      </c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3">
      <c r="A29">
        <v>20</v>
      </c>
      <c r="B29" s="4" t="s">
        <v>36</v>
      </c>
      <c r="C29" s="5">
        <v>3000000</v>
      </c>
      <c r="D29" s="6">
        <v>3000000</v>
      </c>
      <c r="E29" s="6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3">
      <c r="A30">
        <v>21</v>
      </c>
      <c r="B30" s="4" t="s">
        <v>37</v>
      </c>
      <c r="C30" s="5">
        <v>1140500</v>
      </c>
      <c r="D30" s="6"/>
      <c r="E30" s="6">
        <v>1140500</v>
      </c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3">
      <c r="A31">
        <v>22</v>
      </c>
      <c r="B31" s="4" t="s">
        <v>38</v>
      </c>
      <c r="C31" s="5">
        <v>830000</v>
      </c>
      <c r="D31" s="6"/>
      <c r="E31" s="6">
        <v>830000</v>
      </c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3">
      <c r="A32">
        <v>23</v>
      </c>
      <c r="B32" s="4" t="s">
        <v>39</v>
      </c>
      <c r="C32" s="5">
        <v>2430000</v>
      </c>
      <c r="D32" s="6"/>
      <c r="E32" s="6">
        <v>2430000</v>
      </c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3">
      <c r="A33">
        <v>24</v>
      </c>
      <c r="B33" s="4" t="s">
        <v>40</v>
      </c>
      <c r="C33" s="5">
        <v>330000</v>
      </c>
      <c r="D33" s="6"/>
      <c r="E33" s="6">
        <v>330000</v>
      </c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3">
      <c r="A34">
        <v>25</v>
      </c>
      <c r="B34" s="4" t="s">
        <v>41</v>
      </c>
      <c r="C34" s="5">
        <v>100000</v>
      </c>
      <c r="D34" s="6"/>
      <c r="E34" s="6">
        <v>100000</v>
      </c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3">
      <c r="A35">
        <v>26</v>
      </c>
      <c r="B35" s="4" t="s">
        <v>42</v>
      </c>
      <c r="C35" s="5">
        <v>89000</v>
      </c>
      <c r="D35" s="6"/>
      <c r="E35" s="6">
        <v>89000</v>
      </c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3">
      <c r="A36">
        <v>27</v>
      </c>
      <c r="B36" s="4" t="s">
        <v>43</v>
      </c>
      <c r="C36" s="5">
        <v>30000</v>
      </c>
      <c r="D36" s="6"/>
      <c r="E36" s="6">
        <v>30000</v>
      </c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3">
      <c r="A37">
        <v>28</v>
      </c>
      <c r="B37" s="4" t="s">
        <v>44</v>
      </c>
      <c r="C37" s="5">
        <v>80000</v>
      </c>
      <c r="D37" s="6">
        <v>80000</v>
      </c>
      <c r="E37" s="6"/>
      <c r="F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3">
      <c r="A38">
        <v>29</v>
      </c>
      <c r="B38" s="4" t="s">
        <v>45</v>
      </c>
      <c r="C38" s="5">
        <v>3375245</v>
      </c>
      <c r="D38" s="6"/>
      <c r="E38" s="6">
        <v>3375245</v>
      </c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5" thickBot="1" x14ac:dyDescent="0.35">
      <c r="A39">
        <v>30</v>
      </c>
      <c r="B39" s="4" t="s">
        <v>46</v>
      </c>
      <c r="C39" s="11">
        <v>9000000</v>
      </c>
      <c r="D39" s="12"/>
      <c r="E39" s="12">
        <v>9000000</v>
      </c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6.2" thickBot="1" x14ac:dyDescent="0.35">
      <c r="A40">
        <v>31</v>
      </c>
      <c r="B40" s="4" t="s">
        <v>47</v>
      </c>
      <c r="C40" s="13">
        <f>SUM(C10:C39)</f>
        <v>53588400</v>
      </c>
      <c r="D40" s="13">
        <f t="shared" ref="D40:E40" si="0">SUM(D10:D39)</f>
        <v>26794200</v>
      </c>
      <c r="E40" s="13">
        <f t="shared" si="0"/>
        <v>26794200</v>
      </c>
      <c r="F40" s="14"/>
      <c r="G40" s="1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3">
      <c r="A41">
        <v>32</v>
      </c>
      <c r="B41" s="15"/>
      <c r="C41" s="16"/>
      <c r="D41" s="16"/>
      <c r="E41" s="16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3">
      <c r="A42">
        <v>33</v>
      </c>
      <c r="B42" s="4"/>
      <c r="C42" s="6"/>
      <c r="D42" s="6"/>
      <c r="E42" s="6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3">
      <c r="A43">
        <v>34</v>
      </c>
      <c r="B43" s="4"/>
      <c r="C43" s="6"/>
      <c r="D43" s="6"/>
      <c r="E43" s="6"/>
      <c r="F43" s="1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3">
      <c r="A44">
        <v>35</v>
      </c>
      <c r="B44" s="4"/>
      <c r="C44" s="6"/>
      <c r="D44" s="6"/>
      <c r="E44" s="6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x14ac:dyDescent="0.3">
      <c r="A45">
        <v>36</v>
      </c>
      <c r="B45" s="4"/>
      <c r="C45" s="6"/>
      <c r="D45" s="6"/>
      <c r="E45" s="6"/>
      <c r="F45" s="18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x14ac:dyDescent="0.3">
      <c r="A46">
        <v>37</v>
      </c>
      <c r="B46" s="4"/>
      <c r="C46" s="6"/>
      <c r="D46" s="6"/>
      <c r="E46" s="6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x14ac:dyDescent="0.3">
      <c r="A47">
        <v>38</v>
      </c>
      <c r="B47" s="4"/>
      <c r="C47" s="6"/>
      <c r="D47" s="6"/>
      <c r="E47" s="6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x14ac:dyDescent="0.3">
      <c r="A48">
        <v>39</v>
      </c>
      <c r="B48" s="4"/>
      <c r="C48" s="6"/>
      <c r="D48" s="6"/>
      <c r="E48" s="6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x14ac:dyDescent="0.3">
      <c r="A49">
        <v>40</v>
      </c>
      <c r="B49" s="4"/>
      <c r="C49" s="6"/>
      <c r="D49" s="6"/>
      <c r="E49" s="6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x14ac:dyDescent="0.3">
      <c r="A50">
        <v>41</v>
      </c>
      <c r="B50" s="4"/>
      <c r="C50" s="6"/>
      <c r="D50" s="6"/>
      <c r="E50" s="6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x14ac:dyDescent="0.3">
      <c r="A51">
        <v>42</v>
      </c>
      <c r="B51" s="4"/>
      <c r="C51" s="6"/>
      <c r="D51" s="6"/>
      <c r="E51" s="6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x14ac:dyDescent="0.3">
      <c r="A52">
        <v>43</v>
      </c>
      <c r="B52" s="4"/>
      <c r="C52" s="6"/>
      <c r="D52" s="6"/>
      <c r="E52" s="6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x14ac:dyDescent="0.3">
      <c r="A53">
        <v>44</v>
      </c>
      <c r="B53" s="4"/>
      <c r="C53" s="6"/>
      <c r="D53" s="6"/>
      <c r="E53" s="6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x14ac:dyDescent="0.3">
      <c r="A54">
        <v>45</v>
      </c>
      <c r="B54" s="4"/>
      <c r="C54" s="6"/>
      <c r="D54" s="6"/>
      <c r="E54" s="6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x14ac:dyDescent="0.3">
      <c r="A55">
        <v>46</v>
      </c>
      <c r="B55" s="4"/>
      <c r="C55" s="6"/>
      <c r="D55" s="6"/>
      <c r="E55" s="6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x14ac:dyDescent="0.3">
      <c r="A56">
        <v>47</v>
      </c>
      <c r="B56" s="4"/>
      <c r="C56" s="6"/>
      <c r="D56" s="6"/>
      <c r="E56" s="6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x14ac:dyDescent="0.3">
      <c r="A57">
        <v>48</v>
      </c>
      <c r="B57" s="4"/>
      <c r="C57" s="6"/>
      <c r="D57" s="6"/>
      <c r="E57" s="6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x14ac:dyDescent="0.3">
      <c r="A58">
        <v>49</v>
      </c>
      <c r="B58" s="4"/>
      <c r="C58" s="6"/>
      <c r="D58" s="6"/>
      <c r="E58" s="6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x14ac:dyDescent="0.3">
      <c r="A59">
        <v>50</v>
      </c>
      <c r="B59" s="4"/>
      <c r="C59" s="19"/>
      <c r="D59" s="6"/>
      <c r="E59" s="6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x14ac:dyDescent="0.3">
      <c r="A60">
        <v>51</v>
      </c>
      <c r="B60" s="4"/>
      <c r="C60" s="6"/>
      <c r="D60" s="6"/>
      <c r="E60" s="6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x14ac:dyDescent="0.3">
      <c r="A61">
        <v>52</v>
      </c>
      <c r="B61" s="4"/>
      <c r="C61" s="6"/>
      <c r="D61" s="6"/>
      <c r="E61" s="6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x14ac:dyDescent="0.3">
      <c r="A62">
        <v>53</v>
      </c>
      <c r="B62" s="4"/>
      <c r="C62" s="6"/>
      <c r="D62" s="6"/>
      <c r="E62" s="6"/>
      <c r="F62" s="7"/>
      <c r="G62" s="2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x14ac:dyDescent="0.3">
      <c r="A63">
        <v>54</v>
      </c>
      <c r="B63" s="4"/>
      <c r="C63" s="6"/>
      <c r="D63" s="6"/>
      <c r="E63" s="6"/>
      <c r="F63" s="7"/>
      <c r="G63" s="2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x14ac:dyDescent="0.3">
      <c r="A64">
        <v>55</v>
      </c>
      <c r="B64" s="4"/>
      <c r="C64" s="6"/>
      <c r="D64" s="6"/>
      <c r="E64" s="6"/>
      <c r="F64" s="7"/>
      <c r="G64" s="2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x14ac:dyDescent="0.3">
      <c r="A65">
        <v>56</v>
      </c>
      <c r="B65" s="4"/>
      <c r="C65" s="6"/>
      <c r="D65" s="6"/>
      <c r="E65" s="6"/>
      <c r="F65" s="7"/>
      <c r="G65" s="2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x14ac:dyDescent="0.3">
      <c r="A66">
        <v>57</v>
      </c>
      <c r="B66" s="4"/>
      <c r="C66" s="6"/>
      <c r="D66" s="6"/>
      <c r="E66" s="6"/>
      <c r="F66" s="7"/>
      <c r="G66" s="2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x14ac:dyDescent="0.3">
      <c r="A67">
        <v>58</v>
      </c>
      <c r="B67" s="4"/>
      <c r="C67" s="6"/>
      <c r="D67" s="6"/>
      <c r="E67" s="6"/>
      <c r="F67" s="7"/>
      <c r="G67" s="2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x14ac:dyDescent="0.3">
      <c r="A68">
        <v>59</v>
      </c>
      <c r="B68" s="4"/>
      <c r="C68" s="6"/>
      <c r="D68" s="6"/>
      <c r="E68" s="6"/>
      <c r="F68" s="7"/>
      <c r="G68" s="2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x14ac:dyDescent="0.3">
      <c r="A69">
        <v>60</v>
      </c>
      <c r="B69" s="4"/>
      <c r="C69" s="6"/>
      <c r="D69" s="6"/>
      <c r="E69" s="6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x14ac:dyDescent="0.3">
      <c r="A70">
        <v>61</v>
      </c>
      <c r="B70" s="4"/>
      <c r="C70" s="6"/>
      <c r="D70" s="6"/>
      <c r="E70" s="6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x14ac:dyDescent="0.3">
      <c r="A71">
        <v>62</v>
      </c>
      <c r="B71" s="4"/>
      <c r="C71" s="6"/>
      <c r="D71" s="6"/>
      <c r="E71" s="6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x14ac:dyDescent="0.3">
      <c r="A72">
        <v>63</v>
      </c>
      <c r="B72" s="4"/>
      <c r="C72" s="6"/>
      <c r="D72" s="6"/>
      <c r="E72" s="6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x14ac:dyDescent="0.3">
      <c r="A73">
        <v>64</v>
      </c>
      <c r="B73" s="21"/>
      <c r="C73" s="6"/>
      <c r="D73" s="6"/>
      <c r="E73" s="6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x14ac:dyDescent="0.3">
      <c r="A74">
        <v>65</v>
      </c>
      <c r="B74" s="4"/>
      <c r="C74" s="6"/>
      <c r="D74" s="6"/>
      <c r="E74" s="6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x14ac:dyDescent="0.3">
      <c r="A75">
        <v>66</v>
      </c>
      <c r="B75" s="4"/>
      <c r="C75" s="6"/>
      <c r="D75" s="6"/>
      <c r="E75" s="6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x14ac:dyDescent="0.3">
      <c r="A76">
        <v>67</v>
      </c>
      <c r="B76" s="4"/>
      <c r="C76" s="6"/>
      <c r="D76" s="6"/>
      <c r="E76" s="6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x14ac:dyDescent="0.3">
      <c r="A77">
        <v>68</v>
      </c>
      <c r="B77" s="4"/>
      <c r="C77" s="6"/>
      <c r="D77" s="6"/>
      <c r="E77" s="6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x14ac:dyDescent="0.3">
      <c r="A78">
        <v>69</v>
      </c>
      <c r="B78" s="4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x14ac:dyDescent="0.3">
      <c r="A79">
        <v>70</v>
      </c>
      <c r="B79" s="4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x14ac:dyDescent="0.3">
      <c r="A80">
        <v>71</v>
      </c>
      <c r="B80" s="4"/>
      <c r="C80" s="6"/>
      <c r="D80" s="6"/>
      <c r="E80" s="6"/>
      <c r="F80" s="22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x14ac:dyDescent="0.3">
      <c r="A81">
        <v>72</v>
      </c>
      <c r="B81" s="4"/>
      <c r="C81" s="6"/>
      <c r="D81" s="6"/>
      <c r="E81" s="6"/>
      <c r="F81" s="7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6.2" thickBot="1" x14ac:dyDescent="0.35">
      <c r="A82">
        <v>73</v>
      </c>
      <c r="B82" s="4"/>
      <c r="C82" s="6"/>
      <c r="D82" s="6"/>
      <c r="E82" s="6"/>
      <c r="F82" s="13"/>
      <c r="G82" s="13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5" thickBot="1" x14ac:dyDescent="0.35">
      <c r="A83">
        <v>74</v>
      </c>
      <c r="B83" s="4"/>
      <c r="C83" s="6"/>
      <c r="D83" s="6"/>
      <c r="E83" s="6"/>
      <c r="F83" s="23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5" thickTop="1" x14ac:dyDescent="0.3">
      <c r="A84">
        <v>75</v>
      </c>
      <c r="B84" s="15"/>
      <c r="C84" s="6"/>
      <c r="D84" s="6"/>
      <c r="E84" s="6"/>
      <c r="F84" s="1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x14ac:dyDescent="0.3">
      <c r="A85">
        <v>76</v>
      </c>
      <c r="B85" s="1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x14ac:dyDescent="0.3">
      <c r="A86">
        <v>77</v>
      </c>
      <c r="B86" s="1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x14ac:dyDescent="0.3">
      <c r="A87">
        <v>78</v>
      </c>
      <c r="B87" s="1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x14ac:dyDescent="0.3">
      <c r="A88">
        <v>79</v>
      </c>
      <c r="B88" s="1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x14ac:dyDescent="0.3">
      <c r="A89">
        <v>80</v>
      </c>
      <c r="B89" s="1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x14ac:dyDescent="0.3">
      <c r="A90">
        <v>81</v>
      </c>
      <c r="B90" s="1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x14ac:dyDescent="0.3">
      <c r="A91">
        <v>82</v>
      </c>
      <c r="B91" s="1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x14ac:dyDescent="0.3">
      <c r="A92">
        <v>83</v>
      </c>
      <c r="B92" s="1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x14ac:dyDescent="0.3">
      <c r="A93">
        <v>84</v>
      </c>
      <c r="B93" s="1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x14ac:dyDescent="0.3">
      <c r="A94">
        <v>85</v>
      </c>
      <c r="B94" s="1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x14ac:dyDescent="0.3">
      <c r="A95">
        <v>86</v>
      </c>
      <c r="B95" s="1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x14ac:dyDescent="0.3">
      <c r="A96">
        <v>87</v>
      </c>
      <c r="B96" s="1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x14ac:dyDescent="0.3">
      <c r="A97">
        <v>88</v>
      </c>
      <c r="B97" s="1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x14ac:dyDescent="0.3">
      <c r="A98">
        <v>89</v>
      </c>
      <c r="B98" s="1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x14ac:dyDescent="0.3">
      <c r="A99">
        <v>90</v>
      </c>
      <c r="B99" s="1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x14ac:dyDescent="0.3">
      <c r="A100">
        <v>91</v>
      </c>
      <c r="B100" s="1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x14ac:dyDescent="0.3">
      <c r="A101">
        <v>92</v>
      </c>
      <c r="B101" s="1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x14ac:dyDescent="0.3">
      <c r="A102">
        <v>93</v>
      </c>
      <c r="B102" s="1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x14ac:dyDescent="0.3">
      <c r="A103">
        <v>94</v>
      </c>
      <c r="B103" s="1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x14ac:dyDescent="0.3">
      <c r="A104">
        <v>95</v>
      </c>
      <c r="B104" s="1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x14ac:dyDescent="0.3">
      <c r="A105">
        <v>96</v>
      </c>
      <c r="B105" s="4"/>
      <c r="C105" s="6"/>
      <c r="D105" s="6"/>
      <c r="E105" s="6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x14ac:dyDescent="0.3">
      <c r="A106">
        <v>97</v>
      </c>
      <c r="B106" s="1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x14ac:dyDescent="0.3">
      <c r="A107">
        <v>98</v>
      </c>
      <c r="B107" s="1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x14ac:dyDescent="0.3">
      <c r="A108">
        <v>99</v>
      </c>
      <c r="B108" s="1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x14ac:dyDescent="0.3">
      <c r="A109">
        <v>100</v>
      </c>
      <c r="B109" s="1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1:21" x14ac:dyDescent="0.3">
      <c r="B111" s="24"/>
    </row>
    <row r="112" spans="1:21" x14ac:dyDescent="0.3">
      <c r="B112" s="24"/>
    </row>
    <row r="113" spans="2:2" x14ac:dyDescent="0.3">
      <c r="B113" s="24"/>
    </row>
    <row r="114" spans="2:2" x14ac:dyDescent="0.3">
      <c r="B114" s="24"/>
    </row>
    <row r="115" spans="2:2" x14ac:dyDescent="0.3">
      <c r="B115" s="24"/>
    </row>
    <row r="116" spans="2:2" x14ac:dyDescent="0.3">
      <c r="B116" s="24"/>
    </row>
    <row r="117" spans="2:2" x14ac:dyDescent="0.3">
      <c r="B117" s="24"/>
    </row>
    <row r="118" spans="2:2" x14ac:dyDescent="0.3">
      <c r="B118" s="24"/>
    </row>
    <row r="119" spans="2:2" x14ac:dyDescent="0.3">
      <c r="B119" s="24"/>
    </row>
    <row r="120" spans="2:2" x14ac:dyDescent="0.3">
      <c r="B120" s="24"/>
    </row>
    <row r="121" spans="2:2" x14ac:dyDescent="0.3">
      <c r="B121" s="24"/>
    </row>
    <row r="122" spans="2:2" x14ac:dyDescent="0.3">
      <c r="B122" s="24"/>
    </row>
    <row r="123" spans="2:2" x14ac:dyDescent="0.3">
      <c r="B123" s="24"/>
    </row>
    <row r="124" spans="2:2" x14ac:dyDescent="0.3">
      <c r="B124" s="24"/>
    </row>
    <row r="125" spans="2:2" x14ac:dyDescent="0.3">
      <c r="B125" s="24"/>
    </row>
    <row r="126" spans="2:2" x14ac:dyDescent="0.3">
      <c r="B126" s="24"/>
    </row>
    <row r="127" spans="2:2" x14ac:dyDescent="0.3">
      <c r="B127" s="24"/>
    </row>
    <row r="128" spans="2:2" x14ac:dyDescent="0.3">
      <c r="B128" s="24"/>
    </row>
  </sheetData>
  <autoFilter ref="D1:D128"/>
  <mergeCells count="11">
    <mergeCell ref="J8:K8"/>
    <mergeCell ref="A8:A9"/>
    <mergeCell ref="B8:B9"/>
    <mergeCell ref="D8:E8"/>
    <mergeCell ref="F8:G8"/>
    <mergeCell ref="H8:I8"/>
    <mergeCell ref="L8:M8"/>
    <mergeCell ref="N8:O8"/>
    <mergeCell ref="P8:Q8"/>
    <mergeCell ref="R8:S8"/>
    <mergeCell ref="T8:U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 de Saldo al 2024 </vt:lpstr>
      <vt:lpstr>Balance de Saldo al 2024 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lilibeth</dc:creator>
  <cp:lastModifiedBy>FRANK CLEMENTE</cp:lastModifiedBy>
  <dcterms:created xsi:type="dcterms:W3CDTF">2026-05-20T21:56:20Z</dcterms:created>
  <dcterms:modified xsi:type="dcterms:W3CDTF">2026-05-21T16:31:37Z</dcterms:modified>
</cp:coreProperties>
</file>