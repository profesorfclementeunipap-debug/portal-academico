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E72648-774C-471A-9AB7-85455670142E}" xr6:coauthVersionLast="47" xr6:coauthVersionMax="47" xr10:uidLastSave="{00000000-0000-0000-0000-000000000000}"/>
  <bookViews>
    <workbookView xWindow="20370" yWindow="-3180" windowWidth="20730" windowHeight="11160" xr2:uid="{00000000-000D-0000-FFFF-FFFF00000000}"/>
  </bookViews>
  <sheets>
    <sheet name="activos" sheetId="1" r:id="rId1"/>
    <sheet name="PUB 21" sheetId="2" r:id="rId2"/>
    <sheet name="ACTIVOS CODIGO" sheetId="4" r:id="rId3"/>
  </sheets>
  <definedNames>
    <definedName name="_xlnm._FilterDatabase" localSheetId="0" hidden="1">activos!$A$3:$U$146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53" i="1" l="1"/>
  <c r="O954" i="1"/>
  <c r="O480" i="1"/>
  <c r="O481" i="1"/>
  <c r="O482" i="1"/>
  <c r="O492" i="1"/>
  <c r="O494" i="1"/>
  <c r="O495" i="1"/>
  <c r="O496" i="1"/>
  <c r="O497" i="1"/>
  <c r="O514" i="1"/>
  <c r="O523" i="1"/>
  <c r="O530" i="1"/>
  <c r="O537" i="1"/>
  <c r="O543" i="1"/>
  <c r="O552" i="1"/>
  <c r="O563" i="1"/>
  <c r="O574" i="1"/>
  <c r="O585" i="1"/>
  <c r="O596" i="1"/>
  <c r="O608" i="1"/>
  <c r="O610" i="1"/>
  <c r="Q610" i="1" s="1"/>
  <c r="O616" i="1"/>
  <c r="O619" i="1"/>
  <c r="O853" i="1"/>
  <c r="O855" i="1"/>
  <c r="O856" i="1"/>
  <c r="O867" i="1"/>
  <c r="O868" i="1"/>
  <c r="O870" i="1"/>
  <c r="O871" i="1"/>
  <c r="O873" i="1"/>
  <c r="Q873" i="1" s="1"/>
  <c r="O874" i="1"/>
  <c r="Q874" i="1" s="1"/>
  <c r="O875" i="1"/>
  <c r="Q875" i="1" s="1"/>
  <c r="O876" i="1"/>
  <c r="Q876" i="1" s="1"/>
  <c r="O877" i="1"/>
  <c r="O911" i="1"/>
  <c r="O912" i="1"/>
  <c r="O913" i="1"/>
  <c r="O928" i="1"/>
  <c r="O929" i="1"/>
  <c r="O930" i="1"/>
  <c r="Q930" i="1" s="1"/>
  <c r="O932" i="1"/>
  <c r="Q932" i="1" s="1"/>
  <c r="O933" i="1"/>
  <c r="Q933" i="1" s="1"/>
  <c r="O935" i="1"/>
  <c r="Q935" i="1" s="1"/>
  <c r="O936" i="1"/>
  <c r="O937" i="1"/>
  <c r="Q937" i="1" s="1"/>
  <c r="Q953" i="1"/>
  <c r="D931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R935" i="1" s="1"/>
  <c r="B934" i="1"/>
  <c r="B933" i="1"/>
  <c r="B932" i="1"/>
  <c r="B931" i="1"/>
  <c r="B930" i="1"/>
  <c r="B929" i="1"/>
  <c r="R915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4" i="1"/>
  <c r="R913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79" i="1"/>
  <c r="R878" i="1"/>
  <c r="R877" i="1"/>
  <c r="R876" i="1"/>
  <c r="R875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2" i="1"/>
  <c r="R912" i="1" s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9" i="1"/>
  <c r="R929" i="1" s="1"/>
  <c r="D930" i="1"/>
  <c r="R930" i="1" s="1"/>
  <c r="R931" i="1"/>
  <c r="D932" i="1"/>
  <c r="R932" i="1" s="1"/>
  <c r="D933" i="1"/>
  <c r="R933" i="1" s="1"/>
  <c r="D934" i="1"/>
  <c r="R934" i="1" s="1"/>
  <c r="D936" i="1"/>
  <c r="R936" i="1" s="1"/>
  <c r="D937" i="1"/>
  <c r="R937" i="1" s="1"/>
  <c r="D938" i="1"/>
  <c r="R938" i="1" s="1"/>
  <c r="D939" i="1"/>
  <c r="R939" i="1" s="1"/>
  <c r="D940" i="1"/>
  <c r="R940" i="1" s="1"/>
  <c r="D941" i="1"/>
  <c r="R941" i="1" s="1"/>
  <c r="D942" i="1"/>
  <c r="R942" i="1" s="1"/>
  <c r="D943" i="1"/>
  <c r="R943" i="1" s="1"/>
  <c r="D944" i="1"/>
  <c r="R944" i="1" s="1"/>
  <c r="D945" i="1"/>
  <c r="R945" i="1" s="1"/>
  <c r="D946" i="1"/>
  <c r="R946" i="1" s="1"/>
  <c r="D947" i="1"/>
  <c r="R947" i="1" s="1"/>
  <c r="D948" i="1"/>
  <c r="R948" i="1" s="1"/>
  <c r="D949" i="1"/>
  <c r="R949" i="1" s="1"/>
  <c r="D950" i="1"/>
  <c r="R950" i="1" s="1"/>
  <c r="D951" i="1"/>
  <c r="R951" i="1" s="1"/>
  <c r="D952" i="1"/>
  <c r="R952" i="1" s="1"/>
  <c r="D953" i="1"/>
  <c r="R953" i="1" s="1"/>
  <c r="D954" i="1"/>
  <c r="R954" i="1" s="1"/>
  <c r="D955" i="1"/>
  <c r="R955" i="1" s="1"/>
  <c r="D874" i="1"/>
  <c r="Q936" i="1"/>
  <c r="Q929" i="1"/>
  <c r="Q928" i="1"/>
  <c r="N852" i="1"/>
  <c r="M852" i="1"/>
  <c r="H852" i="1"/>
  <c r="N851" i="1"/>
  <c r="M851" i="1"/>
  <c r="H851" i="1"/>
  <c r="N850" i="1"/>
  <c r="M850" i="1"/>
  <c r="H850" i="1"/>
  <c r="N849" i="1"/>
  <c r="M849" i="1"/>
  <c r="H849" i="1"/>
  <c r="N848" i="1"/>
  <c r="M848" i="1"/>
  <c r="H848" i="1"/>
  <c r="N847" i="1"/>
  <c r="M847" i="1"/>
  <c r="H847" i="1"/>
  <c r="N846" i="1"/>
  <c r="M846" i="1"/>
  <c r="H846" i="1"/>
  <c r="N845" i="1"/>
  <c r="M845" i="1"/>
  <c r="H845" i="1"/>
  <c r="N844" i="1"/>
  <c r="M844" i="1"/>
  <c r="H844" i="1"/>
  <c r="N843" i="1"/>
  <c r="M843" i="1"/>
  <c r="H843" i="1"/>
  <c r="N842" i="1"/>
  <c r="M842" i="1"/>
  <c r="H842" i="1"/>
  <c r="N841" i="1"/>
  <c r="M841" i="1"/>
  <c r="H841" i="1"/>
  <c r="N840" i="1"/>
  <c r="M840" i="1"/>
  <c r="H840" i="1"/>
  <c r="N839" i="1"/>
  <c r="M839" i="1"/>
  <c r="H839" i="1"/>
  <c r="N838" i="1"/>
  <c r="M838" i="1"/>
  <c r="H838" i="1"/>
  <c r="N837" i="1"/>
  <c r="M837" i="1"/>
  <c r="H837" i="1"/>
  <c r="N836" i="1"/>
  <c r="M836" i="1"/>
  <c r="H836" i="1"/>
  <c r="N835" i="1"/>
  <c r="M835" i="1"/>
  <c r="H835" i="1"/>
  <c r="N834" i="1"/>
  <c r="M834" i="1"/>
  <c r="H834" i="1"/>
  <c r="N833" i="1"/>
  <c r="M833" i="1"/>
  <c r="H833" i="1"/>
  <c r="N832" i="1"/>
  <c r="M832" i="1"/>
  <c r="H832" i="1"/>
  <c r="N831" i="1"/>
  <c r="M831" i="1"/>
  <c r="H831" i="1"/>
  <c r="N830" i="1"/>
  <c r="M830" i="1"/>
  <c r="H830" i="1"/>
  <c r="N829" i="1"/>
  <c r="M829" i="1"/>
  <c r="H829" i="1"/>
  <c r="N828" i="1"/>
  <c r="M828" i="1"/>
  <c r="H828" i="1"/>
  <c r="N827" i="1"/>
  <c r="M827" i="1"/>
  <c r="H827" i="1"/>
  <c r="N826" i="1"/>
  <c r="M826" i="1"/>
  <c r="H826" i="1"/>
  <c r="N825" i="1"/>
  <c r="M825" i="1"/>
  <c r="H825" i="1"/>
  <c r="N824" i="1"/>
  <c r="M824" i="1"/>
  <c r="H824" i="1"/>
  <c r="N823" i="1"/>
  <c r="M823" i="1"/>
  <c r="H823" i="1"/>
  <c r="N822" i="1"/>
  <c r="M822" i="1"/>
  <c r="H822" i="1"/>
  <c r="N821" i="1"/>
  <c r="M821" i="1"/>
  <c r="H821" i="1"/>
  <c r="N820" i="1"/>
  <c r="M820" i="1"/>
  <c r="H820" i="1"/>
  <c r="N819" i="1"/>
  <c r="M819" i="1"/>
  <c r="H819" i="1"/>
  <c r="N818" i="1"/>
  <c r="M818" i="1"/>
  <c r="H818" i="1"/>
  <c r="N817" i="1"/>
  <c r="M817" i="1"/>
  <c r="H817" i="1"/>
  <c r="N816" i="1"/>
  <c r="M816" i="1"/>
  <c r="H816" i="1"/>
  <c r="N815" i="1"/>
  <c r="M815" i="1"/>
  <c r="H815" i="1"/>
  <c r="N814" i="1"/>
  <c r="M814" i="1"/>
  <c r="H814" i="1"/>
  <c r="N813" i="1"/>
  <c r="M813" i="1"/>
  <c r="H813" i="1"/>
  <c r="N812" i="1"/>
  <c r="M812" i="1"/>
  <c r="H812" i="1"/>
  <c r="N811" i="1"/>
  <c r="M811" i="1"/>
  <c r="H811" i="1"/>
  <c r="N810" i="1"/>
  <c r="M810" i="1"/>
  <c r="H810" i="1"/>
  <c r="N809" i="1"/>
  <c r="M809" i="1"/>
  <c r="H809" i="1"/>
  <c r="N808" i="1"/>
  <c r="M808" i="1"/>
  <c r="H808" i="1"/>
  <c r="N807" i="1"/>
  <c r="M807" i="1"/>
  <c r="H807" i="1"/>
  <c r="N806" i="1"/>
  <c r="M806" i="1"/>
  <c r="H806" i="1"/>
  <c r="N805" i="1"/>
  <c r="M805" i="1"/>
  <c r="H805" i="1"/>
  <c r="N804" i="1"/>
  <c r="M804" i="1"/>
  <c r="H804" i="1"/>
  <c r="N803" i="1"/>
  <c r="M803" i="1"/>
  <c r="H803" i="1"/>
  <c r="N802" i="1"/>
  <c r="M802" i="1"/>
  <c r="H802" i="1"/>
  <c r="N801" i="1"/>
  <c r="M801" i="1"/>
  <c r="H801" i="1"/>
  <c r="N800" i="1"/>
  <c r="M800" i="1"/>
  <c r="H800" i="1"/>
  <c r="N799" i="1"/>
  <c r="M799" i="1"/>
  <c r="H799" i="1"/>
  <c r="N798" i="1"/>
  <c r="M798" i="1"/>
  <c r="H798" i="1"/>
  <c r="N797" i="1"/>
  <c r="M797" i="1"/>
  <c r="H797" i="1"/>
  <c r="N796" i="1"/>
  <c r="M796" i="1"/>
  <c r="H796" i="1"/>
  <c r="N795" i="1"/>
  <c r="M795" i="1"/>
  <c r="H795" i="1"/>
  <c r="N794" i="1"/>
  <c r="M794" i="1"/>
  <c r="H794" i="1"/>
  <c r="Q596" i="1"/>
  <c r="R607" i="1"/>
  <c r="N607" i="1"/>
  <c r="M607" i="1"/>
  <c r="H607" i="1"/>
  <c r="D607" i="1"/>
  <c r="B607" i="1"/>
  <c r="R606" i="1"/>
  <c r="N606" i="1"/>
  <c r="M606" i="1"/>
  <c r="H606" i="1"/>
  <c r="D606" i="1"/>
  <c r="B606" i="1"/>
  <c r="R584" i="1"/>
  <c r="N584" i="1"/>
  <c r="M584" i="1"/>
  <c r="H584" i="1"/>
  <c r="D584" i="1"/>
  <c r="B584" i="1"/>
  <c r="R583" i="1"/>
  <c r="N583" i="1"/>
  <c r="M583" i="1"/>
  <c r="H583" i="1"/>
  <c r="D583" i="1"/>
  <c r="B583" i="1"/>
  <c r="R573" i="1"/>
  <c r="N573" i="1"/>
  <c r="M573" i="1"/>
  <c r="H573" i="1"/>
  <c r="D573" i="1"/>
  <c r="B573" i="1"/>
  <c r="R572" i="1"/>
  <c r="N572" i="1"/>
  <c r="M572" i="1"/>
  <c r="H572" i="1"/>
  <c r="D572" i="1"/>
  <c r="B572" i="1"/>
  <c r="R562" i="1"/>
  <c r="N562" i="1"/>
  <c r="M562" i="1"/>
  <c r="H562" i="1"/>
  <c r="D562" i="1"/>
  <c r="B562" i="1"/>
  <c r="R561" i="1"/>
  <c r="N561" i="1"/>
  <c r="M561" i="1"/>
  <c r="H561" i="1"/>
  <c r="D561" i="1"/>
  <c r="B561" i="1"/>
  <c r="R551" i="1"/>
  <c r="N551" i="1"/>
  <c r="M551" i="1"/>
  <c r="H551" i="1"/>
  <c r="D551" i="1"/>
  <c r="B551" i="1"/>
  <c r="R550" i="1"/>
  <c r="N550" i="1"/>
  <c r="M550" i="1"/>
  <c r="H550" i="1"/>
  <c r="D550" i="1"/>
  <c r="B550" i="1"/>
  <c r="R522" i="1"/>
  <c r="N522" i="1"/>
  <c r="M522" i="1"/>
  <c r="H522" i="1"/>
  <c r="D522" i="1"/>
  <c r="B522" i="1"/>
  <c r="R521" i="1"/>
  <c r="N521" i="1"/>
  <c r="M521" i="1"/>
  <c r="H521" i="1"/>
  <c r="D521" i="1"/>
  <c r="B521" i="1"/>
  <c r="R505" i="1"/>
  <c r="N505" i="1"/>
  <c r="M505" i="1"/>
  <c r="H505" i="1"/>
  <c r="D505" i="1"/>
  <c r="B505" i="1"/>
  <c r="R504" i="1"/>
  <c r="N504" i="1"/>
  <c r="M504" i="1"/>
  <c r="H504" i="1"/>
  <c r="D504" i="1"/>
  <c r="B504" i="1"/>
  <c r="R513" i="1"/>
  <c r="N513" i="1"/>
  <c r="M513" i="1"/>
  <c r="H513" i="1"/>
  <c r="D513" i="1"/>
  <c r="B513" i="1"/>
  <c r="R512" i="1"/>
  <c r="N512" i="1"/>
  <c r="M512" i="1"/>
  <c r="H512" i="1"/>
  <c r="D512" i="1"/>
  <c r="B512" i="1"/>
  <c r="S585" i="1"/>
  <c r="Q619" i="1" l="1"/>
  <c r="Q616" i="1"/>
  <c r="Q608" i="1"/>
  <c r="R605" i="1" l="1"/>
  <c r="N605" i="1"/>
  <c r="M605" i="1"/>
  <c r="H605" i="1"/>
  <c r="D605" i="1"/>
  <c r="B605" i="1"/>
  <c r="R604" i="1"/>
  <c r="N604" i="1"/>
  <c r="M604" i="1"/>
  <c r="H604" i="1"/>
  <c r="D604" i="1"/>
  <c r="B604" i="1"/>
  <c r="R593" i="1"/>
  <c r="N593" i="1"/>
  <c r="M593" i="1"/>
  <c r="H593" i="1"/>
  <c r="D593" i="1"/>
  <c r="B593" i="1"/>
  <c r="R592" i="1"/>
  <c r="N592" i="1"/>
  <c r="M592" i="1"/>
  <c r="H592" i="1"/>
  <c r="D592" i="1"/>
  <c r="B592" i="1"/>
  <c r="R582" i="1"/>
  <c r="N582" i="1"/>
  <c r="M582" i="1"/>
  <c r="H582" i="1"/>
  <c r="D582" i="1"/>
  <c r="B582" i="1"/>
  <c r="R581" i="1"/>
  <c r="N581" i="1"/>
  <c r="M581" i="1"/>
  <c r="H581" i="1"/>
  <c r="D581" i="1"/>
  <c r="B581" i="1"/>
  <c r="R571" i="1"/>
  <c r="N571" i="1"/>
  <c r="M571" i="1"/>
  <c r="H571" i="1"/>
  <c r="D571" i="1"/>
  <c r="B571" i="1"/>
  <c r="R570" i="1"/>
  <c r="N570" i="1"/>
  <c r="M570" i="1"/>
  <c r="H570" i="1"/>
  <c r="D570" i="1"/>
  <c r="B570" i="1"/>
  <c r="R560" i="1"/>
  <c r="N560" i="1"/>
  <c r="M560" i="1"/>
  <c r="H560" i="1"/>
  <c r="D560" i="1"/>
  <c r="B560" i="1"/>
  <c r="R559" i="1"/>
  <c r="N559" i="1"/>
  <c r="M559" i="1"/>
  <c r="H559" i="1"/>
  <c r="D559" i="1"/>
  <c r="B559" i="1"/>
  <c r="R549" i="1"/>
  <c r="N549" i="1"/>
  <c r="M549" i="1"/>
  <c r="H549" i="1"/>
  <c r="D549" i="1"/>
  <c r="B549" i="1"/>
  <c r="R548" i="1"/>
  <c r="N548" i="1"/>
  <c r="M548" i="1"/>
  <c r="H548" i="1"/>
  <c r="D548" i="1"/>
  <c r="B548" i="1"/>
  <c r="R536" i="1"/>
  <c r="N536" i="1"/>
  <c r="M536" i="1"/>
  <c r="H536" i="1"/>
  <c r="D536" i="1"/>
  <c r="B536" i="1"/>
  <c r="R535" i="1"/>
  <c r="N535" i="1"/>
  <c r="M535" i="1"/>
  <c r="H535" i="1"/>
  <c r="D535" i="1"/>
  <c r="B535" i="1"/>
  <c r="R529" i="1"/>
  <c r="N529" i="1"/>
  <c r="M529" i="1"/>
  <c r="H529" i="1"/>
  <c r="D529" i="1"/>
  <c r="B529" i="1"/>
  <c r="R528" i="1"/>
  <c r="N528" i="1"/>
  <c r="M528" i="1"/>
  <c r="H528" i="1"/>
  <c r="D528" i="1"/>
  <c r="B528" i="1"/>
  <c r="R520" i="1"/>
  <c r="N520" i="1"/>
  <c r="M520" i="1"/>
  <c r="H520" i="1"/>
  <c r="D520" i="1"/>
  <c r="B520" i="1"/>
  <c r="R519" i="1"/>
  <c r="N519" i="1"/>
  <c r="M519" i="1"/>
  <c r="H519" i="1"/>
  <c r="D519" i="1"/>
  <c r="B519" i="1"/>
  <c r="R511" i="1"/>
  <c r="N511" i="1"/>
  <c r="M511" i="1"/>
  <c r="H511" i="1"/>
  <c r="D511" i="1"/>
  <c r="B511" i="1"/>
  <c r="R510" i="1"/>
  <c r="N510" i="1"/>
  <c r="M510" i="1"/>
  <c r="H510" i="1"/>
  <c r="D510" i="1"/>
  <c r="B510" i="1"/>
  <c r="R501" i="1"/>
  <c r="N501" i="1"/>
  <c r="M501" i="1"/>
  <c r="H501" i="1"/>
  <c r="D501" i="1"/>
  <c r="B501" i="1"/>
  <c r="R500" i="1"/>
  <c r="N500" i="1"/>
  <c r="M500" i="1"/>
  <c r="H500" i="1"/>
  <c r="D500" i="1"/>
  <c r="B500" i="1"/>
  <c r="O434" i="1"/>
  <c r="O438" i="1"/>
  <c r="Q438" i="1" s="1"/>
  <c r="O439" i="1"/>
  <c r="Q439" i="1" s="1"/>
  <c r="M434" i="1"/>
  <c r="H434" i="1"/>
  <c r="N434" i="1" s="1"/>
  <c r="F434" i="1"/>
  <c r="D434" i="1"/>
  <c r="B434" i="1"/>
  <c r="O391" i="1"/>
  <c r="Q391" i="1" s="1"/>
  <c r="M498" i="1"/>
  <c r="Q492" i="1"/>
  <c r="Q494" i="1"/>
  <c r="Q495" i="1"/>
  <c r="Q496" i="1"/>
  <c r="Q480" i="1"/>
  <c r="Q481" i="1"/>
  <c r="Q482" i="1"/>
  <c r="O215" i="1"/>
  <c r="Q215" i="1" s="1"/>
  <c r="O152" i="1"/>
  <c r="Q152" i="1" s="1"/>
  <c r="O150" i="1"/>
  <c r="Q150" i="1" s="1"/>
  <c r="O149" i="1"/>
  <c r="Q149" i="1" s="1"/>
  <c r="O148" i="1"/>
  <c r="Q148" i="1" s="1"/>
  <c r="O147" i="1"/>
  <c r="Q147" i="1" s="1"/>
  <c r="O146" i="1"/>
  <c r="Q146" i="1" s="1"/>
  <c r="O140" i="1"/>
  <c r="Q140" i="1" s="1"/>
  <c r="M140" i="1"/>
  <c r="H140" i="1"/>
  <c r="R140" i="1" s="1"/>
  <c r="F140" i="1"/>
  <c r="D140" i="1"/>
  <c r="B140" i="1"/>
  <c r="O99" i="1"/>
  <c r="Q99" i="1" s="1"/>
  <c r="M99" i="1"/>
  <c r="H99" i="1"/>
  <c r="N99" i="1" s="1"/>
  <c r="F99" i="1"/>
  <c r="D99" i="1"/>
  <c r="B99" i="1"/>
  <c r="O5" i="1"/>
  <c r="Q5" i="1" s="1"/>
  <c r="O6" i="1"/>
  <c r="Q6" i="1" s="1"/>
  <c r="O7" i="1"/>
  <c r="Q7" i="1" s="1"/>
  <c r="O8" i="1"/>
  <c r="Q8" i="1" s="1"/>
  <c r="O9" i="1"/>
  <c r="Q9" i="1" s="1"/>
  <c r="O50" i="1"/>
  <c r="Q50" i="1" s="1"/>
  <c r="O77" i="1"/>
  <c r="Q77" i="1" s="1"/>
  <c r="O82" i="1"/>
  <c r="Q82" i="1" s="1"/>
  <c r="O83" i="1"/>
  <c r="Q83" i="1" s="1"/>
  <c r="O4" i="1"/>
  <c r="Q4" i="1" s="1"/>
  <c r="R50" i="1"/>
  <c r="N50" i="1"/>
  <c r="M50" i="1"/>
  <c r="H50" i="1"/>
  <c r="F50" i="1"/>
  <c r="D50" i="1"/>
  <c r="B50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391" i="1"/>
  <c r="M435" i="1"/>
  <c r="M436" i="1"/>
  <c r="M437" i="1"/>
  <c r="M438" i="1"/>
  <c r="M439" i="1"/>
  <c r="M440" i="1"/>
  <c r="M480" i="1"/>
  <c r="M481" i="1"/>
  <c r="M482" i="1"/>
  <c r="O483" i="1" s="1"/>
  <c r="O484" i="1" s="1"/>
  <c r="O485" i="1" s="1"/>
  <c r="M483" i="1"/>
  <c r="M484" i="1"/>
  <c r="M485" i="1"/>
  <c r="M486" i="1"/>
  <c r="M487" i="1"/>
  <c r="M488" i="1"/>
  <c r="M489" i="1"/>
  <c r="M490" i="1"/>
  <c r="M491" i="1"/>
  <c r="M492" i="1"/>
  <c r="O493" i="1" s="1"/>
  <c r="M493" i="1"/>
  <c r="M494" i="1"/>
  <c r="M495" i="1"/>
  <c r="M496" i="1"/>
  <c r="M497" i="1"/>
  <c r="M514" i="1"/>
  <c r="O515" i="1" s="1"/>
  <c r="O516" i="1" s="1"/>
  <c r="O517" i="1" s="1"/>
  <c r="M515" i="1"/>
  <c r="M516" i="1"/>
  <c r="M517" i="1"/>
  <c r="M518" i="1"/>
  <c r="M523" i="1"/>
  <c r="M524" i="1"/>
  <c r="M525" i="1"/>
  <c r="M526" i="1"/>
  <c r="M527" i="1"/>
  <c r="M530" i="1"/>
  <c r="O531" i="1" s="1"/>
  <c r="M531" i="1"/>
  <c r="M532" i="1"/>
  <c r="M533" i="1"/>
  <c r="M534" i="1"/>
  <c r="M537" i="1"/>
  <c r="M538" i="1"/>
  <c r="M539" i="1"/>
  <c r="M540" i="1"/>
  <c r="M541" i="1"/>
  <c r="M542" i="1"/>
  <c r="M543" i="1"/>
  <c r="M544" i="1"/>
  <c r="M545" i="1"/>
  <c r="M546" i="1"/>
  <c r="M547" i="1"/>
  <c r="M552" i="1"/>
  <c r="O553" i="1" s="1"/>
  <c r="M553" i="1"/>
  <c r="M554" i="1"/>
  <c r="M555" i="1"/>
  <c r="M556" i="1"/>
  <c r="M557" i="1"/>
  <c r="M558" i="1"/>
  <c r="M563" i="1"/>
  <c r="M564" i="1"/>
  <c r="M565" i="1"/>
  <c r="M566" i="1"/>
  <c r="M567" i="1"/>
  <c r="M568" i="1"/>
  <c r="M569" i="1"/>
  <c r="M574" i="1"/>
  <c r="O575" i="1" s="1"/>
  <c r="O576" i="1" s="1"/>
  <c r="O577" i="1" s="1"/>
  <c r="M575" i="1"/>
  <c r="M576" i="1"/>
  <c r="M577" i="1"/>
  <c r="M578" i="1"/>
  <c r="M579" i="1"/>
  <c r="M580" i="1"/>
  <c r="M585" i="1"/>
  <c r="M586" i="1"/>
  <c r="M587" i="1"/>
  <c r="M588" i="1"/>
  <c r="M589" i="1"/>
  <c r="M590" i="1"/>
  <c r="M591" i="1"/>
  <c r="M596" i="1"/>
  <c r="O597" i="1" s="1"/>
  <c r="M597" i="1"/>
  <c r="M598" i="1"/>
  <c r="M599" i="1"/>
  <c r="M600" i="1"/>
  <c r="M601" i="1"/>
  <c r="M602" i="1"/>
  <c r="M603" i="1"/>
  <c r="M608" i="1"/>
  <c r="O609" i="1" s="1"/>
  <c r="M609" i="1"/>
  <c r="M610" i="1"/>
  <c r="O611" i="1" s="1"/>
  <c r="O612" i="1" s="1"/>
  <c r="O613" i="1" s="1"/>
  <c r="M611" i="1"/>
  <c r="M612" i="1"/>
  <c r="M613" i="1"/>
  <c r="M614" i="1"/>
  <c r="M615" i="1"/>
  <c r="M616" i="1"/>
  <c r="O617" i="1" s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853" i="1"/>
  <c r="O854" i="1" s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O872" i="1" s="1"/>
  <c r="M872" i="1"/>
  <c r="M873" i="1"/>
  <c r="M874" i="1"/>
  <c r="M875" i="1"/>
  <c r="M876" i="1"/>
  <c r="M877" i="1"/>
  <c r="O878" i="1" s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O914" i="1" s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O934" i="1" s="1"/>
  <c r="M934" i="1"/>
  <c r="M935" i="1"/>
  <c r="M936" i="1"/>
  <c r="M937" i="1"/>
  <c r="O938" i="1" s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O955" i="1" s="1"/>
  <c r="Q955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150" i="1"/>
  <c r="N151" i="1"/>
  <c r="M4" i="1"/>
  <c r="O518" i="1" l="1"/>
  <c r="O519" i="1" s="1"/>
  <c r="O520" i="1" s="1"/>
  <c r="O521" i="1" s="1"/>
  <c r="O522" i="1" s="1"/>
  <c r="O869" i="1"/>
  <c r="O857" i="1"/>
  <c r="O858" i="1" s="1"/>
  <c r="O859" i="1" s="1"/>
  <c r="O860" i="1" s="1"/>
  <c r="O861" i="1" s="1"/>
  <c r="O862" i="1" s="1"/>
  <c r="O863" i="1" s="1"/>
  <c r="O864" i="1" s="1"/>
  <c r="O865" i="1" s="1"/>
  <c r="O866" i="1" s="1"/>
  <c r="O618" i="1"/>
  <c r="O614" i="1"/>
  <c r="O615" i="1" s="1"/>
  <c r="O598" i="1"/>
  <c r="O599" i="1" s="1"/>
  <c r="O600" i="1" s="1"/>
  <c r="O601" i="1" s="1"/>
  <c r="O602" i="1" s="1"/>
  <c r="O603" i="1" s="1"/>
  <c r="O604" i="1" s="1"/>
  <c r="O605" i="1" s="1"/>
  <c r="O606" i="1" s="1"/>
  <c r="O607" i="1" s="1"/>
  <c r="O586" i="1"/>
  <c r="O587" i="1" s="1"/>
  <c r="O588" i="1" s="1"/>
  <c r="O589" i="1" s="1"/>
  <c r="O590" i="1" s="1"/>
  <c r="O591" i="1" s="1"/>
  <c r="O592" i="1" s="1"/>
  <c r="O593" i="1" s="1"/>
  <c r="O594" i="1" s="1"/>
  <c r="O595" i="1" s="1"/>
  <c r="O578" i="1"/>
  <c r="O579" i="1" s="1"/>
  <c r="O580" i="1" s="1"/>
  <c r="O581" i="1" s="1"/>
  <c r="O582" i="1" s="1"/>
  <c r="O583" i="1" s="1"/>
  <c r="O584" i="1" s="1"/>
  <c r="O554" i="1"/>
  <c r="O555" i="1" s="1"/>
  <c r="O556" i="1" s="1"/>
  <c r="O557" i="1" s="1"/>
  <c r="O558" i="1" s="1"/>
  <c r="O559" i="1" s="1"/>
  <c r="O560" i="1" s="1"/>
  <c r="O561" i="1" s="1"/>
  <c r="O562" i="1" s="1"/>
  <c r="O538" i="1"/>
  <c r="O539" i="1" s="1"/>
  <c r="O540" i="1" s="1"/>
  <c r="O541" i="1" s="1"/>
  <c r="O542" i="1" s="1"/>
  <c r="Q497" i="1"/>
  <c r="O498" i="1"/>
  <c r="O486" i="1"/>
  <c r="O487" i="1" s="1"/>
  <c r="O488" i="1" s="1"/>
  <c r="O489" i="1" s="1"/>
  <c r="O490" i="1" s="1"/>
  <c r="O491" i="1" s="1"/>
  <c r="O532" i="1"/>
  <c r="O533" i="1" s="1"/>
  <c r="O534" i="1" s="1"/>
  <c r="O535" i="1" s="1"/>
  <c r="O536" i="1" s="1"/>
  <c r="O939" i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Q952" i="1" s="1"/>
  <c r="O931" i="1"/>
  <c r="O915" i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879" i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620" i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564" i="1"/>
  <c r="O565" i="1" s="1"/>
  <c r="O566" i="1" s="1"/>
  <c r="O567" i="1" s="1"/>
  <c r="O568" i="1" s="1"/>
  <c r="O569" i="1" s="1"/>
  <c r="O570" i="1" s="1"/>
  <c r="O571" i="1" s="1"/>
  <c r="O572" i="1" s="1"/>
  <c r="O573" i="1" s="1"/>
  <c r="O544" i="1"/>
  <c r="O545" i="1" s="1"/>
  <c r="O546" i="1" s="1"/>
  <c r="O547" i="1" s="1"/>
  <c r="O548" i="1" s="1"/>
  <c r="O549" i="1" s="1"/>
  <c r="O550" i="1" s="1"/>
  <c r="O551" i="1" s="1"/>
  <c r="O524" i="1"/>
  <c r="O525" i="1" s="1"/>
  <c r="O526" i="1" s="1"/>
  <c r="O527" i="1" s="1"/>
  <c r="O528" i="1" s="1"/>
  <c r="O529" i="1" s="1"/>
  <c r="Q954" i="1"/>
  <c r="Q617" i="1"/>
  <c r="Q931" i="1"/>
  <c r="Q609" i="1"/>
  <c r="Q938" i="1"/>
  <c r="Q934" i="1"/>
  <c r="Q872" i="1"/>
  <c r="Q877" i="1"/>
  <c r="Q597" i="1"/>
  <c r="O440" i="1"/>
  <c r="O435" i="1"/>
  <c r="O436" i="1" s="1"/>
  <c r="O437" i="1" s="1"/>
  <c r="R434" i="1"/>
  <c r="Q434" i="1"/>
  <c r="Q440" i="1"/>
  <c r="Q493" i="1"/>
  <c r="Q483" i="1"/>
  <c r="Q498" i="1"/>
  <c r="O153" i="1"/>
  <c r="O151" i="1"/>
  <c r="Q151" i="1" s="1"/>
  <c r="N140" i="1"/>
  <c r="O141" i="1"/>
  <c r="R99" i="1"/>
  <c r="O84" i="1"/>
  <c r="O128" i="1"/>
  <c r="Q128" i="1" s="1"/>
  <c r="O100" i="1"/>
  <c r="Q100" i="1" s="1"/>
  <c r="O10" i="1"/>
  <c r="O51" i="1"/>
  <c r="O78" i="1"/>
  <c r="Q618" i="1" l="1"/>
  <c r="Q611" i="1"/>
  <c r="Q794" i="1"/>
  <c r="Q607" i="1"/>
  <c r="Q606" i="1"/>
  <c r="Q591" i="1"/>
  <c r="Q583" i="1"/>
  <c r="Q612" i="1"/>
  <c r="Q620" i="1"/>
  <c r="Q584" i="1"/>
  <c r="Q598" i="1"/>
  <c r="Q522" i="1"/>
  <c r="Q521" i="1"/>
  <c r="O79" i="1"/>
  <c r="Q78" i="1"/>
  <c r="O52" i="1"/>
  <c r="Q51" i="1"/>
  <c r="O85" i="1"/>
  <c r="Q84" i="1"/>
  <c r="O11" i="1"/>
  <c r="Q10" i="1"/>
  <c r="O154" i="1"/>
  <c r="Q153" i="1"/>
  <c r="O142" i="1"/>
  <c r="Q141" i="1"/>
  <c r="Q484" i="1"/>
  <c r="M499" i="1"/>
  <c r="O499" i="1" s="1"/>
  <c r="O500" i="1" s="1"/>
  <c r="O501" i="1" s="1"/>
  <c r="O101" i="1"/>
  <c r="O129" i="1"/>
  <c r="Q129" i="1" s="1"/>
  <c r="Q939" i="1" l="1"/>
  <c r="Q795" i="1"/>
  <c r="Q878" i="1"/>
  <c r="Q613" i="1"/>
  <c r="Q592" i="1"/>
  <c r="Q621" i="1"/>
  <c r="Q599" i="1"/>
  <c r="O143" i="1"/>
  <c r="Q142" i="1"/>
  <c r="O12" i="1"/>
  <c r="Q11" i="1"/>
  <c r="O53" i="1"/>
  <c r="Q52" i="1"/>
  <c r="O102" i="1"/>
  <c r="Q102" i="1" s="1"/>
  <c r="Q101" i="1"/>
  <c r="O155" i="1"/>
  <c r="Q154" i="1"/>
  <c r="O86" i="1"/>
  <c r="Q85" i="1"/>
  <c r="O80" i="1"/>
  <c r="Q79" i="1"/>
  <c r="Q485" i="1"/>
  <c r="M502" i="1"/>
  <c r="O502" i="1" s="1"/>
  <c r="Q499" i="1"/>
  <c r="O130" i="1"/>
  <c r="Q130" i="1" s="1"/>
  <c r="D481" i="1"/>
  <c r="N481" i="1" s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2" i="1"/>
  <c r="D503" i="1"/>
  <c r="D506" i="1"/>
  <c r="D507" i="1"/>
  <c r="D508" i="1"/>
  <c r="D509" i="1"/>
  <c r="D514" i="1"/>
  <c r="D515" i="1"/>
  <c r="D516" i="1"/>
  <c r="D517" i="1"/>
  <c r="D518" i="1"/>
  <c r="D523" i="1"/>
  <c r="D524" i="1"/>
  <c r="D525" i="1"/>
  <c r="D526" i="1"/>
  <c r="D527" i="1"/>
  <c r="D530" i="1"/>
  <c r="D531" i="1"/>
  <c r="D532" i="1"/>
  <c r="D533" i="1"/>
  <c r="D534" i="1"/>
  <c r="D537" i="1"/>
  <c r="D538" i="1"/>
  <c r="D539" i="1"/>
  <c r="D540" i="1"/>
  <c r="D541" i="1"/>
  <c r="D542" i="1"/>
  <c r="D543" i="1"/>
  <c r="D544" i="1"/>
  <c r="D545" i="1"/>
  <c r="D546" i="1"/>
  <c r="D547" i="1"/>
  <c r="D552" i="1"/>
  <c r="D553" i="1"/>
  <c r="D554" i="1"/>
  <c r="D555" i="1"/>
  <c r="D556" i="1"/>
  <c r="D557" i="1"/>
  <c r="D558" i="1"/>
  <c r="D563" i="1"/>
  <c r="D564" i="1"/>
  <c r="D565" i="1"/>
  <c r="D566" i="1"/>
  <c r="D567" i="1"/>
  <c r="D568" i="1"/>
  <c r="D569" i="1"/>
  <c r="D574" i="1"/>
  <c r="D575" i="1"/>
  <c r="D576" i="1"/>
  <c r="D577" i="1"/>
  <c r="D578" i="1"/>
  <c r="D579" i="1"/>
  <c r="D580" i="1"/>
  <c r="D585" i="1"/>
  <c r="D586" i="1"/>
  <c r="D587" i="1"/>
  <c r="D588" i="1"/>
  <c r="D589" i="1"/>
  <c r="D590" i="1"/>
  <c r="D591" i="1"/>
  <c r="D596" i="1"/>
  <c r="D597" i="1"/>
  <c r="D598" i="1"/>
  <c r="D599" i="1"/>
  <c r="D600" i="1"/>
  <c r="D601" i="1"/>
  <c r="D602" i="1"/>
  <c r="D603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R874" i="1"/>
  <c r="H436" i="1"/>
  <c r="N436" i="1" s="1"/>
  <c r="F436" i="1"/>
  <c r="D436" i="1"/>
  <c r="B436" i="1"/>
  <c r="H435" i="1"/>
  <c r="N435" i="1" s="1"/>
  <c r="F435" i="1"/>
  <c r="D435" i="1"/>
  <c r="B435" i="1"/>
  <c r="H432" i="1"/>
  <c r="N432" i="1" s="1"/>
  <c r="F432" i="1"/>
  <c r="D432" i="1"/>
  <c r="B432" i="1"/>
  <c r="H431" i="1"/>
  <c r="N431" i="1" s="1"/>
  <c r="F431" i="1"/>
  <c r="D431" i="1"/>
  <c r="B431" i="1"/>
  <c r="H430" i="1"/>
  <c r="N430" i="1" s="1"/>
  <c r="F430" i="1"/>
  <c r="D430" i="1"/>
  <c r="B430" i="1"/>
  <c r="H429" i="1"/>
  <c r="N429" i="1" s="1"/>
  <c r="F429" i="1"/>
  <c r="D429" i="1"/>
  <c r="B429" i="1"/>
  <c r="H428" i="1"/>
  <c r="N428" i="1" s="1"/>
  <c r="F428" i="1"/>
  <c r="D428" i="1"/>
  <c r="B428" i="1"/>
  <c r="H427" i="1"/>
  <c r="N427" i="1" s="1"/>
  <c r="F427" i="1"/>
  <c r="D427" i="1"/>
  <c r="B427" i="1"/>
  <c r="H426" i="1"/>
  <c r="N426" i="1" s="1"/>
  <c r="F426" i="1"/>
  <c r="D426" i="1"/>
  <c r="B426" i="1"/>
  <c r="H425" i="1"/>
  <c r="N425" i="1" s="1"/>
  <c r="F425" i="1"/>
  <c r="D425" i="1"/>
  <c r="B425" i="1"/>
  <c r="H424" i="1"/>
  <c r="N424" i="1" s="1"/>
  <c r="F424" i="1"/>
  <c r="D424" i="1"/>
  <c r="B424" i="1"/>
  <c r="H423" i="1"/>
  <c r="N423" i="1" s="1"/>
  <c r="F423" i="1"/>
  <c r="D423" i="1"/>
  <c r="B423" i="1"/>
  <c r="H422" i="1"/>
  <c r="N422" i="1" s="1"/>
  <c r="F422" i="1"/>
  <c r="D422" i="1"/>
  <c r="B422" i="1"/>
  <c r="H421" i="1"/>
  <c r="N421" i="1" s="1"/>
  <c r="F421" i="1"/>
  <c r="D421" i="1"/>
  <c r="B421" i="1"/>
  <c r="H420" i="1"/>
  <c r="N420" i="1" s="1"/>
  <c r="F420" i="1"/>
  <c r="D420" i="1"/>
  <c r="B420" i="1"/>
  <c r="H419" i="1"/>
  <c r="N419" i="1" s="1"/>
  <c r="F419" i="1"/>
  <c r="D419" i="1"/>
  <c r="B419" i="1"/>
  <c r="H418" i="1"/>
  <c r="N418" i="1" s="1"/>
  <c r="F418" i="1"/>
  <c r="D418" i="1"/>
  <c r="B418" i="1"/>
  <c r="H417" i="1"/>
  <c r="N417" i="1" s="1"/>
  <c r="F417" i="1"/>
  <c r="D417" i="1"/>
  <c r="B417" i="1"/>
  <c r="H416" i="1"/>
  <c r="N416" i="1" s="1"/>
  <c r="F416" i="1"/>
  <c r="D416" i="1"/>
  <c r="B416" i="1"/>
  <c r="H415" i="1"/>
  <c r="N415" i="1" s="1"/>
  <c r="F415" i="1"/>
  <c r="D415" i="1"/>
  <c r="B415" i="1"/>
  <c r="H414" i="1"/>
  <c r="N414" i="1" s="1"/>
  <c r="F414" i="1"/>
  <c r="D414" i="1"/>
  <c r="B414" i="1"/>
  <c r="H413" i="1"/>
  <c r="N413" i="1" s="1"/>
  <c r="F413" i="1"/>
  <c r="D413" i="1"/>
  <c r="B413" i="1"/>
  <c r="H412" i="1"/>
  <c r="N412" i="1" s="1"/>
  <c r="F412" i="1"/>
  <c r="D412" i="1"/>
  <c r="B412" i="1"/>
  <c r="H411" i="1"/>
  <c r="N411" i="1" s="1"/>
  <c r="F411" i="1"/>
  <c r="D411" i="1"/>
  <c r="B411" i="1"/>
  <c r="H410" i="1"/>
  <c r="N410" i="1" s="1"/>
  <c r="F410" i="1"/>
  <c r="D410" i="1"/>
  <c r="B410" i="1"/>
  <c r="H409" i="1"/>
  <c r="N409" i="1" s="1"/>
  <c r="F409" i="1"/>
  <c r="D409" i="1"/>
  <c r="B409" i="1"/>
  <c r="H408" i="1"/>
  <c r="N408" i="1" s="1"/>
  <c r="F408" i="1"/>
  <c r="D408" i="1"/>
  <c r="B408" i="1"/>
  <c r="H407" i="1"/>
  <c r="N407" i="1" s="1"/>
  <c r="F407" i="1"/>
  <c r="D407" i="1"/>
  <c r="B407" i="1"/>
  <c r="H406" i="1"/>
  <c r="N406" i="1" s="1"/>
  <c r="F406" i="1"/>
  <c r="D406" i="1"/>
  <c r="B406" i="1"/>
  <c r="H405" i="1"/>
  <c r="N405" i="1" s="1"/>
  <c r="F405" i="1"/>
  <c r="D405" i="1"/>
  <c r="B405" i="1"/>
  <c r="H404" i="1"/>
  <c r="N404" i="1" s="1"/>
  <c r="F404" i="1"/>
  <c r="D404" i="1"/>
  <c r="B404" i="1"/>
  <c r="H403" i="1"/>
  <c r="N403" i="1" s="1"/>
  <c r="F403" i="1"/>
  <c r="D403" i="1"/>
  <c r="B403" i="1"/>
  <c r="H402" i="1"/>
  <c r="N402" i="1" s="1"/>
  <c r="F402" i="1"/>
  <c r="D402" i="1"/>
  <c r="B402" i="1"/>
  <c r="H401" i="1"/>
  <c r="N401" i="1" s="1"/>
  <c r="F401" i="1"/>
  <c r="D401" i="1"/>
  <c r="B401" i="1"/>
  <c r="H400" i="1"/>
  <c r="N400" i="1" s="1"/>
  <c r="F400" i="1"/>
  <c r="D400" i="1"/>
  <c r="B400" i="1"/>
  <c r="H399" i="1"/>
  <c r="N399" i="1" s="1"/>
  <c r="F399" i="1"/>
  <c r="D399" i="1"/>
  <c r="B399" i="1"/>
  <c r="H398" i="1"/>
  <c r="N398" i="1" s="1"/>
  <c r="F398" i="1"/>
  <c r="D398" i="1"/>
  <c r="B398" i="1"/>
  <c r="H397" i="1"/>
  <c r="N397" i="1" s="1"/>
  <c r="F397" i="1"/>
  <c r="D397" i="1"/>
  <c r="B397" i="1"/>
  <c r="H396" i="1"/>
  <c r="N396" i="1" s="1"/>
  <c r="F396" i="1"/>
  <c r="D396" i="1"/>
  <c r="B396" i="1"/>
  <c r="H395" i="1"/>
  <c r="N395" i="1" s="1"/>
  <c r="F395" i="1"/>
  <c r="D395" i="1"/>
  <c r="B395" i="1"/>
  <c r="H394" i="1"/>
  <c r="N394" i="1" s="1"/>
  <c r="F394" i="1"/>
  <c r="D394" i="1"/>
  <c r="B394" i="1"/>
  <c r="H393" i="1"/>
  <c r="N393" i="1" s="1"/>
  <c r="F393" i="1"/>
  <c r="D393" i="1"/>
  <c r="B393" i="1"/>
  <c r="F392" i="1"/>
  <c r="D392" i="1"/>
  <c r="B392" i="1"/>
  <c r="R489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6" i="1"/>
  <c r="R435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881" i="1"/>
  <c r="R880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3" i="1"/>
  <c r="H602" i="1"/>
  <c r="H601" i="1"/>
  <c r="H600" i="1"/>
  <c r="H599" i="1"/>
  <c r="H598" i="1"/>
  <c r="H597" i="1"/>
  <c r="H596" i="1"/>
  <c r="H591" i="1"/>
  <c r="H590" i="1"/>
  <c r="H589" i="1"/>
  <c r="H588" i="1"/>
  <c r="H587" i="1"/>
  <c r="H586" i="1"/>
  <c r="H585" i="1"/>
  <c r="H580" i="1"/>
  <c r="H579" i="1"/>
  <c r="H578" i="1"/>
  <c r="H577" i="1"/>
  <c r="H576" i="1"/>
  <c r="H575" i="1"/>
  <c r="H574" i="1"/>
  <c r="H569" i="1"/>
  <c r="H568" i="1"/>
  <c r="H567" i="1"/>
  <c r="H566" i="1"/>
  <c r="H565" i="1"/>
  <c r="H564" i="1"/>
  <c r="H563" i="1"/>
  <c r="H558" i="1"/>
  <c r="H557" i="1"/>
  <c r="H556" i="1"/>
  <c r="H555" i="1"/>
  <c r="H554" i="1"/>
  <c r="H553" i="1"/>
  <c r="H552" i="1"/>
  <c r="H547" i="1"/>
  <c r="H546" i="1"/>
  <c r="H545" i="1"/>
  <c r="H544" i="1"/>
  <c r="H543" i="1"/>
  <c r="H542" i="1"/>
  <c r="H541" i="1"/>
  <c r="H540" i="1"/>
  <c r="H539" i="1"/>
  <c r="H538" i="1"/>
  <c r="H537" i="1"/>
  <c r="H534" i="1"/>
  <c r="H533" i="1"/>
  <c r="H532" i="1"/>
  <c r="H531" i="1"/>
  <c r="H530" i="1"/>
  <c r="H527" i="1"/>
  <c r="H526" i="1"/>
  <c r="H525" i="1"/>
  <c r="H524" i="1"/>
  <c r="H523" i="1"/>
  <c r="H518" i="1"/>
  <c r="H517" i="1"/>
  <c r="H516" i="1"/>
  <c r="H515" i="1"/>
  <c r="H514" i="1"/>
  <c r="H509" i="1"/>
  <c r="H508" i="1"/>
  <c r="H507" i="1"/>
  <c r="H506" i="1"/>
  <c r="H503" i="1"/>
  <c r="H502" i="1"/>
  <c r="H499" i="1"/>
  <c r="H498" i="1"/>
  <c r="H497" i="1"/>
  <c r="H496" i="1"/>
  <c r="H495" i="1"/>
  <c r="H494" i="1"/>
  <c r="H493" i="1"/>
  <c r="H492" i="1"/>
  <c r="H491" i="1"/>
  <c r="H490" i="1"/>
  <c r="H489" i="1"/>
  <c r="N489" i="1" s="1"/>
  <c r="H488" i="1"/>
  <c r="H487" i="1"/>
  <c r="H486" i="1"/>
  <c r="H485" i="1"/>
  <c r="H484" i="1"/>
  <c r="H483" i="1"/>
  <c r="H482" i="1"/>
  <c r="H479" i="1"/>
  <c r="N479" i="1" s="1"/>
  <c r="H478" i="1"/>
  <c r="N478" i="1" s="1"/>
  <c r="H477" i="1"/>
  <c r="N477" i="1" s="1"/>
  <c r="H476" i="1"/>
  <c r="N476" i="1" s="1"/>
  <c r="H475" i="1"/>
  <c r="N475" i="1" s="1"/>
  <c r="H474" i="1"/>
  <c r="N474" i="1" s="1"/>
  <c r="H473" i="1"/>
  <c r="N473" i="1" s="1"/>
  <c r="H472" i="1"/>
  <c r="N472" i="1" s="1"/>
  <c r="H471" i="1"/>
  <c r="N471" i="1" s="1"/>
  <c r="H470" i="1"/>
  <c r="N470" i="1" s="1"/>
  <c r="H469" i="1"/>
  <c r="N469" i="1" s="1"/>
  <c r="H468" i="1"/>
  <c r="N468" i="1" s="1"/>
  <c r="H467" i="1"/>
  <c r="N467" i="1" s="1"/>
  <c r="H466" i="1"/>
  <c r="N466" i="1" s="1"/>
  <c r="H465" i="1"/>
  <c r="N465" i="1" s="1"/>
  <c r="H464" i="1"/>
  <c r="N464" i="1" s="1"/>
  <c r="H463" i="1"/>
  <c r="N463" i="1" s="1"/>
  <c r="H462" i="1"/>
  <c r="N462" i="1" s="1"/>
  <c r="H461" i="1"/>
  <c r="N461" i="1" s="1"/>
  <c r="H460" i="1"/>
  <c r="N460" i="1" s="1"/>
  <c r="H459" i="1"/>
  <c r="N459" i="1" s="1"/>
  <c r="H458" i="1"/>
  <c r="N458" i="1" s="1"/>
  <c r="H457" i="1"/>
  <c r="N457" i="1" s="1"/>
  <c r="H456" i="1"/>
  <c r="N456" i="1" s="1"/>
  <c r="H455" i="1"/>
  <c r="N455" i="1" s="1"/>
  <c r="H454" i="1"/>
  <c r="N454" i="1" s="1"/>
  <c r="H453" i="1"/>
  <c r="N453" i="1" s="1"/>
  <c r="H452" i="1"/>
  <c r="N452" i="1" s="1"/>
  <c r="H451" i="1"/>
  <c r="N451" i="1" s="1"/>
  <c r="H450" i="1"/>
  <c r="N450" i="1" s="1"/>
  <c r="H449" i="1"/>
  <c r="N449" i="1" s="1"/>
  <c r="H448" i="1"/>
  <c r="N448" i="1" s="1"/>
  <c r="H447" i="1"/>
  <c r="N447" i="1" s="1"/>
  <c r="H446" i="1"/>
  <c r="N446" i="1" s="1"/>
  <c r="H445" i="1"/>
  <c r="N445" i="1" s="1"/>
  <c r="H444" i="1"/>
  <c r="N444" i="1" s="1"/>
  <c r="H443" i="1"/>
  <c r="N443" i="1" s="1"/>
  <c r="H442" i="1"/>
  <c r="N442" i="1" s="1"/>
  <c r="H441" i="1"/>
  <c r="N441" i="1" s="1"/>
  <c r="H440" i="1"/>
  <c r="N440" i="1" s="1"/>
  <c r="H439" i="1"/>
  <c r="H438" i="1"/>
  <c r="H437" i="1"/>
  <c r="H433" i="1"/>
  <c r="H392" i="1"/>
  <c r="N392" i="1" s="1"/>
  <c r="H391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3" i="1"/>
  <c r="F391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3" i="1"/>
  <c r="D391" i="1"/>
  <c r="B928" i="1"/>
  <c r="R928" i="1" s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R911" i="1" s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R873" i="1" s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3" i="1"/>
  <c r="B602" i="1"/>
  <c r="B601" i="1"/>
  <c r="B600" i="1"/>
  <c r="B599" i="1"/>
  <c r="B598" i="1"/>
  <c r="B597" i="1"/>
  <c r="B596" i="1"/>
  <c r="B591" i="1"/>
  <c r="B590" i="1"/>
  <c r="B589" i="1"/>
  <c r="B588" i="1"/>
  <c r="B587" i="1"/>
  <c r="B586" i="1"/>
  <c r="B585" i="1"/>
  <c r="B580" i="1"/>
  <c r="B579" i="1"/>
  <c r="B578" i="1"/>
  <c r="B577" i="1"/>
  <c r="B576" i="1"/>
  <c r="B575" i="1"/>
  <c r="B574" i="1"/>
  <c r="B569" i="1"/>
  <c r="B568" i="1"/>
  <c r="B567" i="1"/>
  <c r="B566" i="1"/>
  <c r="B565" i="1"/>
  <c r="B564" i="1"/>
  <c r="B563" i="1"/>
  <c r="B558" i="1"/>
  <c r="B557" i="1"/>
  <c r="B556" i="1"/>
  <c r="B555" i="1"/>
  <c r="B554" i="1"/>
  <c r="B553" i="1"/>
  <c r="B552" i="1"/>
  <c r="B547" i="1"/>
  <c r="B546" i="1"/>
  <c r="B545" i="1"/>
  <c r="B544" i="1"/>
  <c r="B543" i="1"/>
  <c r="B542" i="1"/>
  <c r="B541" i="1"/>
  <c r="B540" i="1"/>
  <c r="B539" i="1"/>
  <c r="B538" i="1"/>
  <c r="B537" i="1"/>
  <c r="B534" i="1"/>
  <c r="B533" i="1"/>
  <c r="B532" i="1"/>
  <c r="B531" i="1"/>
  <c r="B530" i="1"/>
  <c r="B527" i="1"/>
  <c r="B526" i="1"/>
  <c r="B525" i="1"/>
  <c r="B524" i="1"/>
  <c r="B523" i="1"/>
  <c r="B518" i="1"/>
  <c r="B517" i="1"/>
  <c r="B516" i="1"/>
  <c r="B515" i="1"/>
  <c r="B514" i="1"/>
  <c r="B509" i="1"/>
  <c r="B508" i="1"/>
  <c r="B507" i="1"/>
  <c r="B506" i="1"/>
  <c r="B503" i="1"/>
  <c r="B502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3" i="1"/>
  <c r="B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H390" i="1"/>
  <c r="N390" i="1" s="1"/>
  <c r="F390" i="1"/>
  <c r="D390" i="1"/>
  <c r="B390" i="1"/>
  <c r="H389" i="1"/>
  <c r="N389" i="1" s="1"/>
  <c r="F389" i="1"/>
  <c r="D389" i="1"/>
  <c r="B389" i="1"/>
  <c r="H388" i="1"/>
  <c r="N388" i="1" s="1"/>
  <c r="F388" i="1"/>
  <c r="D388" i="1"/>
  <c r="B388" i="1"/>
  <c r="H387" i="1"/>
  <c r="N387" i="1" s="1"/>
  <c r="F387" i="1"/>
  <c r="D387" i="1"/>
  <c r="B387" i="1"/>
  <c r="H386" i="1"/>
  <c r="N386" i="1" s="1"/>
  <c r="F386" i="1"/>
  <c r="D386" i="1"/>
  <c r="B386" i="1"/>
  <c r="H385" i="1"/>
  <c r="N385" i="1" s="1"/>
  <c r="F385" i="1"/>
  <c r="D385" i="1"/>
  <c r="B385" i="1"/>
  <c r="H384" i="1"/>
  <c r="N384" i="1" s="1"/>
  <c r="F384" i="1"/>
  <c r="D384" i="1"/>
  <c r="B384" i="1"/>
  <c r="H383" i="1"/>
  <c r="N383" i="1" s="1"/>
  <c r="F383" i="1"/>
  <c r="D383" i="1"/>
  <c r="B383" i="1"/>
  <c r="H382" i="1"/>
  <c r="N382" i="1" s="1"/>
  <c r="F382" i="1"/>
  <c r="D382" i="1"/>
  <c r="B382" i="1"/>
  <c r="H381" i="1"/>
  <c r="N381" i="1" s="1"/>
  <c r="F381" i="1"/>
  <c r="D381" i="1"/>
  <c r="B381" i="1"/>
  <c r="H380" i="1"/>
  <c r="N380" i="1" s="1"/>
  <c r="F380" i="1"/>
  <c r="D380" i="1"/>
  <c r="B380" i="1"/>
  <c r="H379" i="1"/>
  <c r="N379" i="1" s="1"/>
  <c r="F379" i="1"/>
  <c r="D379" i="1"/>
  <c r="B379" i="1"/>
  <c r="H378" i="1"/>
  <c r="N378" i="1" s="1"/>
  <c r="F378" i="1"/>
  <c r="D378" i="1"/>
  <c r="B378" i="1"/>
  <c r="H377" i="1"/>
  <c r="N377" i="1" s="1"/>
  <c r="F377" i="1"/>
  <c r="D377" i="1"/>
  <c r="B377" i="1"/>
  <c r="H376" i="1"/>
  <c r="N376" i="1" s="1"/>
  <c r="F376" i="1"/>
  <c r="D376" i="1"/>
  <c r="B376" i="1"/>
  <c r="H375" i="1"/>
  <c r="N375" i="1" s="1"/>
  <c r="F375" i="1"/>
  <c r="D375" i="1"/>
  <c r="B375" i="1"/>
  <c r="H374" i="1"/>
  <c r="N374" i="1" s="1"/>
  <c r="F374" i="1"/>
  <c r="D374" i="1"/>
  <c r="B374" i="1"/>
  <c r="H373" i="1"/>
  <c r="N373" i="1" s="1"/>
  <c r="F373" i="1"/>
  <c r="D373" i="1"/>
  <c r="B373" i="1"/>
  <c r="H372" i="1"/>
  <c r="N372" i="1" s="1"/>
  <c r="F372" i="1"/>
  <c r="D372" i="1"/>
  <c r="B372" i="1"/>
  <c r="H371" i="1"/>
  <c r="N371" i="1" s="1"/>
  <c r="F371" i="1"/>
  <c r="D371" i="1"/>
  <c r="B371" i="1"/>
  <c r="H370" i="1"/>
  <c r="N370" i="1" s="1"/>
  <c r="F370" i="1"/>
  <c r="D370" i="1"/>
  <c r="B370" i="1"/>
  <c r="H369" i="1"/>
  <c r="N369" i="1" s="1"/>
  <c r="F369" i="1"/>
  <c r="D369" i="1"/>
  <c r="B369" i="1"/>
  <c r="H368" i="1"/>
  <c r="N368" i="1" s="1"/>
  <c r="F368" i="1"/>
  <c r="D368" i="1"/>
  <c r="B368" i="1"/>
  <c r="H367" i="1"/>
  <c r="N367" i="1" s="1"/>
  <c r="F367" i="1"/>
  <c r="D367" i="1"/>
  <c r="B367" i="1"/>
  <c r="H366" i="1"/>
  <c r="N366" i="1" s="1"/>
  <c r="F366" i="1"/>
  <c r="D366" i="1"/>
  <c r="B366" i="1"/>
  <c r="H365" i="1"/>
  <c r="N365" i="1" s="1"/>
  <c r="F365" i="1"/>
  <c r="D365" i="1"/>
  <c r="B365" i="1"/>
  <c r="H364" i="1"/>
  <c r="N364" i="1" s="1"/>
  <c r="F364" i="1"/>
  <c r="D364" i="1"/>
  <c r="B364" i="1"/>
  <c r="H363" i="1"/>
  <c r="N363" i="1" s="1"/>
  <c r="F363" i="1"/>
  <c r="D363" i="1"/>
  <c r="B363" i="1"/>
  <c r="H362" i="1"/>
  <c r="N362" i="1" s="1"/>
  <c r="F362" i="1"/>
  <c r="D362" i="1"/>
  <c r="B362" i="1"/>
  <c r="H361" i="1"/>
  <c r="N361" i="1" s="1"/>
  <c r="F361" i="1"/>
  <c r="D361" i="1"/>
  <c r="B361" i="1"/>
  <c r="H360" i="1"/>
  <c r="N360" i="1" s="1"/>
  <c r="F360" i="1"/>
  <c r="D360" i="1"/>
  <c r="B360" i="1"/>
  <c r="H359" i="1"/>
  <c r="N359" i="1" s="1"/>
  <c r="F359" i="1"/>
  <c r="D359" i="1"/>
  <c r="B359" i="1"/>
  <c r="H358" i="1"/>
  <c r="N358" i="1" s="1"/>
  <c r="F358" i="1"/>
  <c r="D358" i="1"/>
  <c r="B358" i="1"/>
  <c r="H357" i="1"/>
  <c r="N357" i="1" s="1"/>
  <c r="F357" i="1"/>
  <c r="D357" i="1"/>
  <c r="B357" i="1"/>
  <c r="H356" i="1"/>
  <c r="N356" i="1" s="1"/>
  <c r="F356" i="1"/>
  <c r="D356" i="1"/>
  <c r="B356" i="1"/>
  <c r="H355" i="1"/>
  <c r="N355" i="1" s="1"/>
  <c r="F355" i="1"/>
  <c r="D355" i="1"/>
  <c r="B355" i="1"/>
  <c r="H354" i="1"/>
  <c r="N354" i="1" s="1"/>
  <c r="F354" i="1"/>
  <c r="D354" i="1"/>
  <c r="B354" i="1"/>
  <c r="H353" i="1"/>
  <c r="N353" i="1" s="1"/>
  <c r="F353" i="1"/>
  <c r="D353" i="1"/>
  <c r="B353" i="1"/>
  <c r="H352" i="1"/>
  <c r="N352" i="1" s="1"/>
  <c r="F352" i="1"/>
  <c r="D352" i="1"/>
  <c r="B352" i="1"/>
  <c r="H351" i="1"/>
  <c r="N351" i="1" s="1"/>
  <c r="F351" i="1"/>
  <c r="D351" i="1"/>
  <c r="B351" i="1"/>
  <c r="H350" i="1"/>
  <c r="N350" i="1" s="1"/>
  <c r="F350" i="1"/>
  <c r="D350" i="1"/>
  <c r="B350" i="1"/>
  <c r="H349" i="1"/>
  <c r="N349" i="1" s="1"/>
  <c r="F349" i="1"/>
  <c r="D349" i="1"/>
  <c r="B349" i="1"/>
  <c r="H348" i="1"/>
  <c r="N348" i="1" s="1"/>
  <c r="F348" i="1"/>
  <c r="D348" i="1"/>
  <c r="B348" i="1"/>
  <c r="H347" i="1"/>
  <c r="N347" i="1" s="1"/>
  <c r="F347" i="1"/>
  <c r="D347" i="1"/>
  <c r="B347" i="1"/>
  <c r="H346" i="1"/>
  <c r="N346" i="1" s="1"/>
  <c r="F346" i="1"/>
  <c r="D346" i="1"/>
  <c r="B346" i="1"/>
  <c r="H345" i="1"/>
  <c r="N345" i="1" s="1"/>
  <c r="F345" i="1"/>
  <c r="D345" i="1"/>
  <c r="B345" i="1"/>
  <c r="H344" i="1"/>
  <c r="N344" i="1" s="1"/>
  <c r="F344" i="1"/>
  <c r="D344" i="1"/>
  <c r="B344" i="1"/>
  <c r="H343" i="1"/>
  <c r="N343" i="1" s="1"/>
  <c r="F343" i="1"/>
  <c r="D343" i="1"/>
  <c r="B343" i="1"/>
  <c r="H342" i="1"/>
  <c r="N342" i="1" s="1"/>
  <c r="F342" i="1"/>
  <c r="D342" i="1"/>
  <c r="B342" i="1"/>
  <c r="H341" i="1"/>
  <c r="N341" i="1" s="1"/>
  <c r="F341" i="1"/>
  <c r="D341" i="1"/>
  <c r="B341" i="1"/>
  <c r="H340" i="1"/>
  <c r="N340" i="1" s="1"/>
  <c r="F340" i="1"/>
  <c r="D340" i="1"/>
  <c r="B340" i="1"/>
  <c r="H339" i="1"/>
  <c r="N339" i="1" s="1"/>
  <c r="F339" i="1"/>
  <c r="D339" i="1"/>
  <c r="B339" i="1"/>
  <c r="H338" i="1"/>
  <c r="N338" i="1" s="1"/>
  <c r="F338" i="1"/>
  <c r="D338" i="1"/>
  <c r="B338" i="1"/>
  <c r="H337" i="1"/>
  <c r="N337" i="1" s="1"/>
  <c r="F337" i="1"/>
  <c r="D337" i="1"/>
  <c r="B337" i="1"/>
  <c r="H336" i="1"/>
  <c r="N336" i="1" s="1"/>
  <c r="F336" i="1"/>
  <c r="D336" i="1"/>
  <c r="B336" i="1"/>
  <c r="H335" i="1"/>
  <c r="N335" i="1" s="1"/>
  <c r="F335" i="1"/>
  <c r="D335" i="1"/>
  <c r="B335" i="1"/>
  <c r="H334" i="1"/>
  <c r="N334" i="1" s="1"/>
  <c r="F334" i="1"/>
  <c r="D334" i="1"/>
  <c r="B334" i="1"/>
  <c r="H333" i="1"/>
  <c r="N333" i="1" s="1"/>
  <c r="F333" i="1"/>
  <c r="D333" i="1"/>
  <c r="B333" i="1"/>
  <c r="H332" i="1"/>
  <c r="N332" i="1" s="1"/>
  <c r="F332" i="1"/>
  <c r="D332" i="1"/>
  <c r="B332" i="1"/>
  <c r="H331" i="1"/>
  <c r="N331" i="1" s="1"/>
  <c r="F331" i="1"/>
  <c r="D331" i="1"/>
  <c r="B331" i="1"/>
  <c r="H330" i="1"/>
  <c r="N330" i="1" s="1"/>
  <c r="F330" i="1"/>
  <c r="D330" i="1"/>
  <c r="B330" i="1"/>
  <c r="H329" i="1"/>
  <c r="N329" i="1" s="1"/>
  <c r="F329" i="1"/>
  <c r="D329" i="1"/>
  <c r="B329" i="1"/>
  <c r="H328" i="1"/>
  <c r="N328" i="1" s="1"/>
  <c r="F328" i="1"/>
  <c r="D328" i="1"/>
  <c r="B328" i="1"/>
  <c r="H327" i="1"/>
  <c r="N327" i="1" s="1"/>
  <c r="F327" i="1"/>
  <c r="D327" i="1"/>
  <c r="B327" i="1"/>
  <c r="H326" i="1"/>
  <c r="N326" i="1" s="1"/>
  <c r="F326" i="1"/>
  <c r="D326" i="1"/>
  <c r="B326" i="1"/>
  <c r="H325" i="1"/>
  <c r="N325" i="1" s="1"/>
  <c r="F325" i="1"/>
  <c r="D325" i="1"/>
  <c r="B325" i="1"/>
  <c r="H324" i="1"/>
  <c r="N324" i="1" s="1"/>
  <c r="F324" i="1"/>
  <c r="D324" i="1"/>
  <c r="B324" i="1"/>
  <c r="H323" i="1"/>
  <c r="N323" i="1" s="1"/>
  <c r="F323" i="1"/>
  <c r="D323" i="1"/>
  <c r="B323" i="1"/>
  <c r="H322" i="1"/>
  <c r="N322" i="1" s="1"/>
  <c r="F322" i="1"/>
  <c r="D322" i="1"/>
  <c r="B322" i="1"/>
  <c r="H321" i="1"/>
  <c r="N321" i="1" s="1"/>
  <c r="F321" i="1"/>
  <c r="D321" i="1"/>
  <c r="B321" i="1"/>
  <c r="H320" i="1"/>
  <c r="N320" i="1" s="1"/>
  <c r="F320" i="1"/>
  <c r="D320" i="1"/>
  <c r="B320" i="1"/>
  <c r="H319" i="1"/>
  <c r="N319" i="1" s="1"/>
  <c r="F319" i="1"/>
  <c r="D319" i="1"/>
  <c r="B319" i="1"/>
  <c r="H318" i="1"/>
  <c r="N318" i="1" s="1"/>
  <c r="F318" i="1"/>
  <c r="D318" i="1"/>
  <c r="B318" i="1"/>
  <c r="H317" i="1"/>
  <c r="N317" i="1" s="1"/>
  <c r="F317" i="1"/>
  <c r="D317" i="1"/>
  <c r="B317" i="1"/>
  <c r="H316" i="1"/>
  <c r="N316" i="1" s="1"/>
  <c r="F316" i="1"/>
  <c r="D316" i="1"/>
  <c r="B316" i="1"/>
  <c r="H315" i="1"/>
  <c r="N315" i="1" s="1"/>
  <c r="F315" i="1"/>
  <c r="D315" i="1"/>
  <c r="B315" i="1"/>
  <c r="H314" i="1"/>
  <c r="N314" i="1" s="1"/>
  <c r="F314" i="1"/>
  <c r="D314" i="1"/>
  <c r="B314" i="1"/>
  <c r="H313" i="1"/>
  <c r="N313" i="1" s="1"/>
  <c r="F313" i="1"/>
  <c r="D313" i="1"/>
  <c r="B313" i="1"/>
  <c r="H312" i="1"/>
  <c r="N312" i="1" s="1"/>
  <c r="F312" i="1"/>
  <c r="D312" i="1"/>
  <c r="B312" i="1"/>
  <c r="H311" i="1"/>
  <c r="N311" i="1" s="1"/>
  <c r="F311" i="1"/>
  <c r="D311" i="1"/>
  <c r="B311" i="1"/>
  <c r="H310" i="1"/>
  <c r="N310" i="1" s="1"/>
  <c r="F310" i="1"/>
  <c r="D310" i="1"/>
  <c r="B310" i="1"/>
  <c r="H309" i="1"/>
  <c r="N309" i="1" s="1"/>
  <c r="F309" i="1"/>
  <c r="D309" i="1"/>
  <c r="B309" i="1"/>
  <c r="H308" i="1"/>
  <c r="N308" i="1" s="1"/>
  <c r="F308" i="1"/>
  <c r="D308" i="1"/>
  <c r="B308" i="1"/>
  <c r="H307" i="1"/>
  <c r="N307" i="1" s="1"/>
  <c r="F307" i="1"/>
  <c r="D307" i="1"/>
  <c r="B307" i="1"/>
  <c r="H306" i="1"/>
  <c r="N306" i="1" s="1"/>
  <c r="F306" i="1"/>
  <c r="D306" i="1"/>
  <c r="B306" i="1"/>
  <c r="H305" i="1"/>
  <c r="N305" i="1" s="1"/>
  <c r="F305" i="1"/>
  <c r="D305" i="1"/>
  <c r="B305" i="1"/>
  <c r="H304" i="1"/>
  <c r="N304" i="1" s="1"/>
  <c r="F304" i="1"/>
  <c r="D304" i="1"/>
  <c r="B304" i="1"/>
  <c r="H303" i="1"/>
  <c r="N303" i="1" s="1"/>
  <c r="F303" i="1"/>
  <c r="D303" i="1"/>
  <c r="B303" i="1"/>
  <c r="H302" i="1"/>
  <c r="N302" i="1" s="1"/>
  <c r="F302" i="1"/>
  <c r="D302" i="1"/>
  <c r="B302" i="1"/>
  <c r="H301" i="1"/>
  <c r="N301" i="1" s="1"/>
  <c r="F301" i="1"/>
  <c r="D301" i="1"/>
  <c r="B301" i="1"/>
  <c r="H300" i="1"/>
  <c r="N300" i="1" s="1"/>
  <c r="F300" i="1"/>
  <c r="D300" i="1"/>
  <c r="B300" i="1"/>
  <c r="H299" i="1"/>
  <c r="N299" i="1" s="1"/>
  <c r="F299" i="1"/>
  <c r="D299" i="1"/>
  <c r="B299" i="1"/>
  <c r="H298" i="1"/>
  <c r="N298" i="1" s="1"/>
  <c r="F298" i="1"/>
  <c r="D298" i="1"/>
  <c r="B298" i="1"/>
  <c r="H297" i="1"/>
  <c r="N297" i="1" s="1"/>
  <c r="F297" i="1"/>
  <c r="D297" i="1"/>
  <c r="B297" i="1"/>
  <c r="H296" i="1"/>
  <c r="N296" i="1" s="1"/>
  <c r="F296" i="1"/>
  <c r="D296" i="1"/>
  <c r="B296" i="1"/>
  <c r="H295" i="1"/>
  <c r="N295" i="1" s="1"/>
  <c r="F295" i="1"/>
  <c r="D295" i="1"/>
  <c r="B295" i="1"/>
  <c r="H294" i="1"/>
  <c r="N294" i="1" s="1"/>
  <c r="F294" i="1"/>
  <c r="D294" i="1"/>
  <c r="B294" i="1"/>
  <c r="H293" i="1"/>
  <c r="N293" i="1" s="1"/>
  <c r="F293" i="1"/>
  <c r="D293" i="1"/>
  <c r="B293" i="1"/>
  <c r="H292" i="1"/>
  <c r="N292" i="1" s="1"/>
  <c r="F292" i="1"/>
  <c r="D292" i="1"/>
  <c r="B292" i="1"/>
  <c r="H291" i="1"/>
  <c r="N291" i="1" s="1"/>
  <c r="F291" i="1"/>
  <c r="D291" i="1"/>
  <c r="B291" i="1"/>
  <c r="H290" i="1"/>
  <c r="N290" i="1" s="1"/>
  <c r="F290" i="1"/>
  <c r="D290" i="1"/>
  <c r="B290" i="1"/>
  <c r="H289" i="1"/>
  <c r="N289" i="1" s="1"/>
  <c r="F289" i="1"/>
  <c r="D289" i="1"/>
  <c r="B289" i="1"/>
  <c r="H288" i="1"/>
  <c r="N288" i="1" s="1"/>
  <c r="F288" i="1"/>
  <c r="D288" i="1"/>
  <c r="B288" i="1"/>
  <c r="H287" i="1"/>
  <c r="N287" i="1" s="1"/>
  <c r="F287" i="1"/>
  <c r="D287" i="1"/>
  <c r="B287" i="1"/>
  <c r="H286" i="1"/>
  <c r="N286" i="1" s="1"/>
  <c r="F286" i="1"/>
  <c r="D286" i="1"/>
  <c r="B286" i="1"/>
  <c r="H285" i="1"/>
  <c r="N285" i="1" s="1"/>
  <c r="F285" i="1"/>
  <c r="D285" i="1"/>
  <c r="B285" i="1"/>
  <c r="H284" i="1"/>
  <c r="N284" i="1" s="1"/>
  <c r="F284" i="1"/>
  <c r="D284" i="1"/>
  <c r="B284" i="1"/>
  <c r="H283" i="1"/>
  <c r="N283" i="1" s="1"/>
  <c r="F283" i="1"/>
  <c r="D283" i="1"/>
  <c r="B283" i="1"/>
  <c r="H282" i="1"/>
  <c r="N282" i="1" s="1"/>
  <c r="F282" i="1"/>
  <c r="D282" i="1"/>
  <c r="B282" i="1"/>
  <c r="H281" i="1"/>
  <c r="N281" i="1" s="1"/>
  <c r="F281" i="1"/>
  <c r="D281" i="1"/>
  <c r="B281" i="1"/>
  <c r="H280" i="1"/>
  <c r="N280" i="1" s="1"/>
  <c r="F280" i="1"/>
  <c r="D280" i="1"/>
  <c r="B280" i="1"/>
  <c r="H279" i="1"/>
  <c r="N279" i="1" s="1"/>
  <c r="F279" i="1"/>
  <c r="D279" i="1"/>
  <c r="B279" i="1"/>
  <c r="H278" i="1"/>
  <c r="N278" i="1" s="1"/>
  <c r="F278" i="1"/>
  <c r="D278" i="1"/>
  <c r="B278" i="1"/>
  <c r="H277" i="1"/>
  <c r="N277" i="1" s="1"/>
  <c r="F277" i="1"/>
  <c r="D277" i="1"/>
  <c r="B277" i="1"/>
  <c r="H276" i="1"/>
  <c r="N276" i="1" s="1"/>
  <c r="F276" i="1"/>
  <c r="D276" i="1"/>
  <c r="B276" i="1"/>
  <c r="H275" i="1"/>
  <c r="N275" i="1" s="1"/>
  <c r="F275" i="1"/>
  <c r="D275" i="1"/>
  <c r="B275" i="1"/>
  <c r="H274" i="1"/>
  <c r="N274" i="1" s="1"/>
  <c r="F274" i="1"/>
  <c r="D274" i="1"/>
  <c r="B274" i="1"/>
  <c r="H273" i="1"/>
  <c r="N273" i="1" s="1"/>
  <c r="F273" i="1"/>
  <c r="D273" i="1"/>
  <c r="B273" i="1"/>
  <c r="H272" i="1"/>
  <c r="N272" i="1" s="1"/>
  <c r="F272" i="1"/>
  <c r="D272" i="1"/>
  <c r="B272" i="1"/>
  <c r="H271" i="1"/>
  <c r="N271" i="1" s="1"/>
  <c r="F271" i="1"/>
  <c r="D271" i="1"/>
  <c r="B271" i="1"/>
  <c r="H270" i="1"/>
  <c r="N270" i="1" s="1"/>
  <c r="F270" i="1"/>
  <c r="D270" i="1"/>
  <c r="B270" i="1"/>
  <c r="H269" i="1"/>
  <c r="N269" i="1" s="1"/>
  <c r="F269" i="1"/>
  <c r="D269" i="1"/>
  <c r="B269" i="1"/>
  <c r="H268" i="1"/>
  <c r="N268" i="1" s="1"/>
  <c r="F268" i="1"/>
  <c r="D268" i="1"/>
  <c r="B268" i="1"/>
  <c r="H267" i="1"/>
  <c r="N267" i="1" s="1"/>
  <c r="F267" i="1"/>
  <c r="D267" i="1"/>
  <c r="B267" i="1"/>
  <c r="H266" i="1"/>
  <c r="N266" i="1" s="1"/>
  <c r="F266" i="1"/>
  <c r="D266" i="1"/>
  <c r="B266" i="1"/>
  <c r="H265" i="1"/>
  <c r="N265" i="1" s="1"/>
  <c r="F265" i="1"/>
  <c r="D265" i="1"/>
  <c r="B265" i="1"/>
  <c r="H264" i="1"/>
  <c r="N264" i="1" s="1"/>
  <c r="F264" i="1"/>
  <c r="D264" i="1"/>
  <c r="B264" i="1"/>
  <c r="H263" i="1"/>
  <c r="N263" i="1" s="1"/>
  <c r="F263" i="1"/>
  <c r="D263" i="1"/>
  <c r="B263" i="1"/>
  <c r="H262" i="1"/>
  <c r="N262" i="1" s="1"/>
  <c r="F262" i="1"/>
  <c r="D262" i="1"/>
  <c r="B262" i="1"/>
  <c r="H261" i="1"/>
  <c r="N261" i="1" s="1"/>
  <c r="F261" i="1"/>
  <c r="D261" i="1"/>
  <c r="B261" i="1"/>
  <c r="H260" i="1"/>
  <c r="N260" i="1" s="1"/>
  <c r="F260" i="1"/>
  <c r="D260" i="1"/>
  <c r="B260" i="1"/>
  <c r="H259" i="1"/>
  <c r="N259" i="1" s="1"/>
  <c r="F259" i="1"/>
  <c r="D259" i="1"/>
  <c r="B259" i="1"/>
  <c r="H258" i="1"/>
  <c r="N258" i="1" s="1"/>
  <c r="F258" i="1"/>
  <c r="D258" i="1"/>
  <c r="B258" i="1"/>
  <c r="H257" i="1"/>
  <c r="N257" i="1" s="1"/>
  <c r="F257" i="1"/>
  <c r="D257" i="1"/>
  <c r="B257" i="1"/>
  <c r="H256" i="1"/>
  <c r="N256" i="1" s="1"/>
  <c r="F256" i="1"/>
  <c r="D256" i="1"/>
  <c r="B256" i="1"/>
  <c r="H255" i="1"/>
  <c r="N255" i="1" s="1"/>
  <c r="F255" i="1"/>
  <c r="D255" i="1"/>
  <c r="B255" i="1"/>
  <c r="H254" i="1"/>
  <c r="N254" i="1" s="1"/>
  <c r="F254" i="1"/>
  <c r="D254" i="1"/>
  <c r="B254" i="1"/>
  <c r="H253" i="1"/>
  <c r="N253" i="1" s="1"/>
  <c r="F253" i="1"/>
  <c r="D253" i="1"/>
  <c r="B253" i="1"/>
  <c r="H252" i="1"/>
  <c r="N252" i="1" s="1"/>
  <c r="F252" i="1"/>
  <c r="D252" i="1"/>
  <c r="B252" i="1"/>
  <c r="H251" i="1"/>
  <c r="N251" i="1" s="1"/>
  <c r="F251" i="1"/>
  <c r="D251" i="1"/>
  <c r="B251" i="1"/>
  <c r="H250" i="1"/>
  <c r="N250" i="1" s="1"/>
  <c r="F250" i="1"/>
  <c r="D250" i="1"/>
  <c r="B250" i="1"/>
  <c r="H249" i="1"/>
  <c r="N249" i="1" s="1"/>
  <c r="F249" i="1"/>
  <c r="D249" i="1"/>
  <c r="B249" i="1"/>
  <c r="H248" i="1"/>
  <c r="N248" i="1" s="1"/>
  <c r="F248" i="1"/>
  <c r="D248" i="1"/>
  <c r="B248" i="1"/>
  <c r="H247" i="1"/>
  <c r="N247" i="1" s="1"/>
  <c r="F247" i="1"/>
  <c r="D247" i="1"/>
  <c r="B247" i="1"/>
  <c r="H246" i="1"/>
  <c r="N246" i="1" s="1"/>
  <c r="F246" i="1"/>
  <c r="D246" i="1"/>
  <c r="B246" i="1"/>
  <c r="H245" i="1"/>
  <c r="N245" i="1" s="1"/>
  <c r="F245" i="1"/>
  <c r="D245" i="1"/>
  <c r="B245" i="1"/>
  <c r="H244" i="1"/>
  <c r="N244" i="1" s="1"/>
  <c r="F244" i="1"/>
  <c r="D244" i="1"/>
  <c r="B244" i="1"/>
  <c r="H243" i="1"/>
  <c r="N243" i="1" s="1"/>
  <c r="F243" i="1"/>
  <c r="D243" i="1"/>
  <c r="B243" i="1"/>
  <c r="H242" i="1"/>
  <c r="N242" i="1" s="1"/>
  <c r="F242" i="1"/>
  <c r="D242" i="1"/>
  <c r="B242" i="1"/>
  <c r="H241" i="1"/>
  <c r="N241" i="1" s="1"/>
  <c r="F241" i="1"/>
  <c r="D241" i="1"/>
  <c r="B241" i="1"/>
  <c r="H240" i="1"/>
  <c r="N240" i="1" s="1"/>
  <c r="F240" i="1"/>
  <c r="D240" i="1"/>
  <c r="B240" i="1"/>
  <c r="H239" i="1"/>
  <c r="N239" i="1" s="1"/>
  <c r="F239" i="1"/>
  <c r="D239" i="1"/>
  <c r="B239" i="1"/>
  <c r="H238" i="1"/>
  <c r="N238" i="1" s="1"/>
  <c r="F238" i="1"/>
  <c r="D238" i="1"/>
  <c r="B238" i="1"/>
  <c r="H237" i="1"/>
  <c r="N237" i="1" s="1"/>
  <c r="F237" i="1"/>
  <c r="D237" i="1"/>
  <c r="B237" i="1"/>
  <c r="H236" i="1"/>
  <c r="N236" i="1" s="1"/>
  <c r="F236" i="1"/>
  <c r="D236" i="1"/>
  <c r="B236" i="1"/>
  <c r="H235" i="1"/>
  <c r="N235" i="1" s="1"/>
  <c r="F235" i="1"/>
  <c r="D235" i="1"/>
  <c r="B235" i="1"/>
  <c r="H234" i="1"/>
  <c r="N234" i="1" s="1"/>
  <c r="F234" i="1"/>
  <c r="D234" i="1"/>
  <c r="B234" i="1"/>
  <c r="H233" i="1"/>
  <c r="N233" i="1" s="1"/>
  <c r="F233" i="1"/>
  <c r="D233" i="1"/>
  <c r="B233" i="1"/>
  <c r="H232" i="1"/>
  <c r="N232" i="1" s="1"/>
  <c r="F232" i="1"/>
  <c r="D232" i="1"/>
  <c r="B232" i="1"/>
  <c r="H231" i="1"/>
  <c r="N231" i="1" s="1"/>
  <c r="F231" i="1"/>
  <c r="D231" i="1"/>
  <c r="B231" i="1"/>
  <c r="H230" i="1"/>
  <c r="N230" i="1" s="1"/>
  <c r="F230" i="1"/>
  <c r="D230" i="1"/>
  <c r="B230" i="1"/>
  <c r="H229" i="1"/>
  <c r="N229" i="1" s="1"/>
  <c r="F229" i="1"/>
  <c r="D229" i="1"/>
  <c r="B229" i="1"/>
  <c r="H228" i="1"/>
  <c r="N228" i="1" s="1"/>
  <c r="F228" i="1"/>
  <c r="D228" i="1"/>
  <c r="B228" i="1"/>
  <c r="H227" i="1"/>
  <c r="N227" i="1" s="1"/>
  <c r="F227" i="1"/>
  <c r="D227" i="1"/>
  <c r="B227" i="1"/>
  <c r="H226" i="1"/>
  <c r="N226" i="1" s="1"/>
  <c r="F226" i="1"/>
  <c r="D226" i="1"/>
  <c r="B226" i="1"/>
  <c r="H225" i="1"/>
  <c r="N225" i="1" s="1"/>
  <c r="F225" i="1"/>
  <c r="D225" i="1"/>
  <c r="B225" i="1"/>
  <c r="H224" i="1"/>
  <c r="N224" i="1" s="1"/>
  <c r="F224" i="1"/>
  <c r="D224" i="1"/>
  <c r="B224" i="1"/>
  <c r="H223" i="1"/>
  <c r="N223" i="1" s="1"/>
  <c r="F223" i="1"/>
  <c r="D223" i="1"/>
  <c r="B223" i="1"/>
  <c r="H222" i="1"/>
  <c r="N222" i="1" s="1"/>
  <c r="F222" i="1"/>
  <c r="D222" i="1"/>
  <c r="B222" i="1"/>
  <c r="H221" i="1"/>
  <c r="N221" i="1" s="1"/>
  <c r="F221" i="1"/>
  <c r="D221" i="1"/>
  <c r="B221" i="1"/>
  <c r="H220" i="1"/>
  <c r="N220" i="1" s="1"/>
  <c r="F220" i="1"/>
  <c r="D220" i="1"/>
  <c r="B220" i="1"/>
  <c r="H219" i="1"/>
  <c r="N219" i="1" s="1"/>
  <c r="F219" i="1"/>
  <c r="D219" i="1"/>
  <c r="B219" i="1"/>
  <c r="H218" i="1"/>
  <c r="N218" i="1" s="1"/>
  <c r="F218" i="1"/>
  <c r="D218" i="1"/>
  <c r="B218" i="1"/>
  <c r="H217" i="1"/>
  <c r="N217" i="1" s="1"/>
  <c r="F217" i="1"/>
  <c r="D217" i="1"/>
  <c r="B217" i="1"/>
  <c r="H216" i="1"/>
  <c r="N216" i="1" s="1"/>
  <c r="F216" i="1"/>
  <c r="D216" i="1"/>
  <c r="B216" i="1"/>
  <c r="R216" i="1"/>
  <c r="R217" i="1"/>
  <c r="R218" i="1"/>
  <c r="H215" i="1"/>
  <c r="F215" i="1"/>
  <c r="D215" i="1"/>
  <c r="B215" i="1"/>
  <c r="H214" i="1"/>
  <c r="N214" i="1" s="1"/>
  <c r="F214" i="1"/>
  <c r="D214" i="1"/>
  <c r="B214" i="1"/>
  <c r="H213" i="1"/>
  <c r="N213" i="1" s="1"/>
  <c r="F213" i="1"/>
  <c r="D213" i="1"/>
  <c r="B213" i="1"/>
  <c r="H212" i="1"/>
  <c r="N212" i="1" s="1"/>
  <c r="F212" i="1"/>
  <c r="D212" i="1"/>
  <c r="B212" i="1"/>
  <c r="H211" i="1"/>
  <c r="N211" i="1" s="1"/>
  <c r="F211" i="1"/>
  <c r="D211" i="1"/>
  <c r="B211" i="1"/>
  <c r="H210" i="1"/>
  <c r="N210" i="1" s="1"/>
  <c r="F210" i="1"/>
  <c r="D210" i="1"/>
  <c r="B210" i="1"/>
  <c r="H209" i="1"/>
  <c r="N209" i="1" s="1"/>
  <c r="F209" i="1"/>
  <c r="D209" i="1"/>
  <c r="B209" i="1"/>
  <c r="H208" i="1"/>
  <c r="N208" i="1" s="1"/>
  <c r="F208" i="1"/>
  <c r="D208" i="1"/>
  <c r="B208" i="1"/>
  <c r="H207" i="1"/>
  <c r="N207" i="1" s="1"/>
  <c r="F207" i="1"/>
  <c r="D207" i="1"/>
  <c r="B207" i="1"/>
  <c r="H206" i="1"/>
  <c r="N206" i="1" s="1"/>
  <c r="F206" i="1"/>
  <c r="D206" i="1"/>
  <c r="B206" i="1"/>
  <c r="H205" i="1"/>
  <c r="N205" i="1" s="1"/>
  <c r="F205" i="1"/>
  <c r="D205" i="1"/>
  <c r="B205" i="1"/>
  <c r="H204" i="1"/>
  <c r="N204" i="1" s="1"/>
  <c r="F204" i="1"/>
  <c r="D204" i="1"/>
  <c r="B204" i="1"/>
  <c r="H203" i="1"/>
  <c r="N203" i="1" s="1"/>
  <c r="F203" i="1"/>
  <c r="D203" i="1"/>
  <c r="B203" i="1"/>
  <c r="H202" i="1"/>
  <c r="N202" i="1" s="1"/>
  <c r="F202" i="1"/>
  <c r="D202" i="1"/>
  <c r="B202" i="1"/>
  <c r="H201" i="1"/>
  <c r="N201" i="1" s="1"/>
  <c r="F201" i="1"/>
  <c r="D201" i="1"/>
  <c r="B201" i="1"/>
  <c r="H200" i="1"/>
  <c r="N200" i="1" s="1"/>
  <c r="F200" i="1"/>
  <c r="D200" i="1"/>
  <c r="B200" i="1"/>
  <c r="H199" i="1"/>
  <c r="N199" i="1" s="1"/>
  <c r="F199" i="1"/>
  <c r="D199" i="1"/>
  <c r="B199" i="1"/>
  <c r="H198" i="1"/>
  <c r="N198" i="1" s="1"/>
  <c r="F198" i="1"/>
  <c r="D198" i="1"/>
  <c r="B198" i="1"/>
  <c r="H197" i="1"/>
  <c r="N197" i="1" s="1"/>
  <c r="F197" i="1"/>
  <c r="D197" i="1"/>
  <c r="B197" i="1"/>
  <c r="H196" i="1"/>
  <c r="N196" i="1" s="1"/>
  <c r="F196" i="1"/>
  <c r="D196" i="1"/>
  <c r="B196" i="1"/>
  <c r="H195" i="1"/>
  <c r="N195" i="1" s="1"/>
  <c r="F195" i="1"/>
  <c r="D195" i="1"/>
  <c r="B195" i="1"/>
  <c r="H194" i="1"/>
  <c r="N194" i="1" s="1"/>
  <c r="F194" i="1"/>
  <c r="D194" i="1"/>
  <c r="B194" i="1"/>
  <c r="H193" i="1"/>
  <c r="N193" i="1" s="1"/>
  <c r="F193" i="1"/>
  <c r="D193" i="1"/>
  <c r="B193" i="1"/>
  <c r="H192" i="1"/>
  <c r="N192" i="1" s="1"/>
  <c r="F192" i="1"/>
  <c r="D192" i="1"/>
  <c r="B192" i="1"/>
  <c r="H191" i="1"/>
  <c r="N191" i="1" s="1"/>
  <c r="F191" i="1"/>
  <c r="D191" i="1"/>
  <c r="B191" i="1"/>
  <c r="H190" i="1"/>
  <c r="N190" i="1" s="1"/>
  <c r="F190" i="1"/>
  <c r="D190" i="1"/>
  <c r="B190" i="1"/>
  <c r="H189" i="1"/>
  <c r="N189" i="1" s="1"/>
  <c r="F189" i="1"/>
  <c r="D189" i="1"/>
  <c r="B189" i="1"/>
  <c r="H188" i="1"/>
  <c r="N188" i="1" s="1"/>
  <c r="F188" i="1"/>
  <c r="D188" i="1"/>
  <c r="B188" i="1"/>
  <c r="H187" i="1"/>
  <c r="N187" i="1" s="1"/>
  <c r="F187" i="1"/>
  <c r="D187" i="1"/>
  <c r="B187" i="1"/>
  <c r="H186" i="1"/>
  <c r="N186" i="1" s="1"/>
  <c r="F186" i="1"/>
  <c r="D186" i="1"/>
  <c r="B186" i="1"/>
  <c r="H185" i="1"/>
  <c r="N185" i="1" s="1"/>
  <c r="F185" i="1"/>
  <c r="D185" i="1"/>
  <c r="B185" i="1"/>
  <c r="H184" i="1"/>
  <c r="N184" i="1" s="1"/>
  <c r="F184" i="1"/>
  <c r="D184" i="1"/>
  <c r="B184" i="1"/>
  <c r="H183" i="1"/>
  <c r="N183" i="1" s="1"/>
  <c r="F183" i="1"/>
  <c r="D183" i="1"/>
  <c r="B183" i="1"/>
  <c r="H182" i="1"/>
  <c r="N182" i="1" s="1"/>
  <c r="F182" i="1"/>
  <c r="D182" i="1"/>
  <c r="B182" i="1"/>
  <c r="H181" i="1"/>
  <c r="N181" i="1" s="1"/>
  <c r="F181" i="1"/>
  <c r="D181" i="1"/>
  <c r="B181" i="1"/>
  <c r="H180" i="1"/>
  <c r="N180" i="1" s="1"/>
  <c r="F180" i="1"/>
  <c r="D180" i="1"/>
  <c r="B180" i="1"/>
  <c r="H179" i="1"/>
  <c r="N179" i="1" s="1"/>
  <c r="F179" i="1"/>
  <c r="D179" i="1"/>
  <c r="B179" i="1"/>
  <c r="H178" i="1"/>
  <c r="N178" i="1" s="1"/>
  <c r="F178" i="1"/>
  <c r="D178" i="1"/>
  <c r="B178" i="1"/>
  <c r="H177" i="1"/>
  <c r="N177" i="1" s="1"/>
  <c r="F177" i="1"/>
  <c r="D177" i="1"/>
  <c r="B177" i="1"/>
  <c r="H176" i="1"/>
  <c r="N176" i="1" s="1"/>
  <c r="F176" i="1"/>
  <c r="D176" i="1"/>
  <c r="B176" i="1"/>
  <c r="H175" i="1"/>
  <c r="N175" i="1" s="1"/>
  <c r="F175" i="1"/>
  <c r="D175" i="1"/>
  <c r="B175" i="1"/>
  <c r="H174" i="1"/>
  <c r="N174" i="1" s="1"/>
  <c r="F174" i="1"/>
  <c r="D174" i="1"/>
  <c r="B174" i="1"/>
  <c r="H173" i="1"/>
  <c r="N173" i="1" s="1"/>
  <c r="F173" i="1"/>
  <c r="D173" i="1"/>
  <c r="B173" i="1"/>
  <c r="H172" i="1"/>
  <c r="N172" i="1" s="1"/>
  <c r="F172" i="1"/>
  <c r="D172" i="1"/>
  <c r="B172" i="1"/>
  <c r="H171" i="1"/>
  <c r="N171" i="1" s="1"/>
  <c r="F171" i="1"/>
  <c r="D171" i="1"/>
  <c r="B171" i="1"/>
  <c r="H170" i="1"/>
  <c r="N170" i="1" s="1"/>
  <c r="F170" i="1"/>
  <c r="D170" i="1"/>
  <c r="B170" i="1"/>
  <c r="H169" i="1"/>
  <c r="N169" i="1" s="1"/>
  <c r="F169" i="1"/>
  <c r="D169" i="1"/>
  <c r="B169" i="1"/>
  <c r="H168" i="1"/>
  <c r="N168" i="1" s="1"/>
  <c r="F168" i="1"/>
  <c r="D168" i="1"/>
  <c r="B168" i="1"/>
  <c r="H167" i="1"/>
  <c r="N167" i="1" s="1"/>
  <c r="F167" i="1"/>
  <c r="D167" i="1"/>
  <c r="B167" i="1"/>
  <c r="H166" i="1"/>
  <c r="N166" i="1" s="1"/>
  <c r="F166" i="1"/>
  <c r="D166" i="1"/>
  <c r="B166" i="1"/>
  <c r="H165" i="1"/>
  <c r="N165" i="1" s="1"/>
  <c r="F165" i="1"/>
  <c r="D165" i="1"/>
  <c r="B165" i="1"/>
  <c r="H164" i="1"/>
  <c r="N164" i="1" s="1"/>
  <c r="F164" i="1"/>
  <c r="D164" i="1"/>
  <c r="B164" i="1"/>
  <c r="H163" i="1"/>
  <c r="N163" i="1" s="1"/>
  <c r="F163" i="1"/>
  <c r="D163" i="1"/>
  <c r="B163" i="1"/>
  <c r="H162" i="1"/>
  <c r="N162" i="1" s="1"/>
  <c r="F162" i="1"/>
  <c r="D162" i="1"/>
  <c r="B162" i="1"/>
  <c r="H161" i="1"/>
  <c r="N161" i="1" s="1"/>
  <c r="F161" i="1"/>
  <c r="D161" i="1"/>
  <c r="B161" i="1"/>
  <c r="H160" i="1"/>
  <c r="N160" i="1" s="1"/>
  <c r="F160" i="1"/>
  <c r="D160" i="1"/>
  <c r="B160" i="1"/>
  <c r="H159" i="1"/>
  <c r="N159" i="1" s="1"/>
  <c r="F159" i="1"/>
  <c r="D159" i="1"/>
  <c r="B159" i="1"/>
  <c r="H158" i="1"/>
  <c r="N158" i="1" s="1"/>
  <c r="F158" i="1"/>
  <c r="D158" i="1"/>
  <c r="B158" i="1"/>
  <c r="H157" i="1"/>
  <c r="N157" i="1" s="1"/>
  <c r="F157" i="1"/>
  <c r="D157" i="1"/>
  <c r="B157" i="1"/>
  <c r="H156" i="1"/>
  <c r="N156" i="1" s="1"/>
  <c r="F156" i="1"/>
  <c r="D156" i="1"/>
  <c r="B156" i="1"/>
  <c r="H155" i="1"/>
  <c r="N155" i="1" s="1"/>
  <c r="F155" i="1"/>
  <c r="D155" i="1"/>
  <c r="B155" i="1"/>
  <c r="D154" i="1"/>
  <c r="R213" i="1"/>
  <c r="R212" i="1"/>
  <c r="R211" i="1"/>
  <c r="R209" i="1"/>
  <c r="R208" i="1"/>
  <c r="R207" i="1"/>
  <c r="R205" i="1"/>
  <c r="R203" i="1"/>
  <c r="R201" i="1"/>
  <c r="R200" i="1"/>
  <c r="R197" i="1"/>
  <c r="R195" i="1"/>
  <c r="R193" i="1"/>
  <c r="R192" i="1"/>
  <c r="R191" i="1"/>
  <c r="R189" i="1"/>
  <c r="R187" i="1"/>
  <c r="R185" i="1"/>
  <c r="R181" i="1"/>
  <c r="R179" i="1"/>
  <c r="R177" i="1"/>
  <c r="R173" i="1"/>
  <c r="R172" i="1"/>
  <c r="R171" i="1"/>
  <c r="R169" i="1"/>
  <c r="R167" i="1"/>
  <c r="R165" i="1"/>
  <c r="R163" i="1"/>
  <c r="R161" i="1"/>
  <c r="R159" i="1"/>
  <c r="R157" i="1"/>
  <c r="R155" i="1"/>
  <c r="H154" i="1"/>
  <c r="F154" i="1"/>
  <c r="B154" i="1"/>
  <c r="H153" i="1"/>
  <c r="F153" i="1"/>
  <c r="D153" i="1"/>
  <c r="B153" i="1"/>
  <c r="H152" i="1"/>
  <c r="F152" i="1"/>
  <c r="D152" i="1"/>
  <c r="B152" i="1"/>
  <c r="H151" i="1"/>
  <c r="R151" i="1" s="1"/>
  <c r="F151" i="1"/>
  <c r="D151" i="1"/>
  <c r="B151" i="1"/>
  <c r="H150" i="1"/>
  <c r="R150" i="1" s="1"/>
  <c r="F150" i="1"/>
  <c r="D150" i="1"/>
  <c r="B150" i="1"/>
  <c r="R214" i="1"/>
  <c r="R210" i="1"/>
  <c r="R206" i="1"/>
  <c r="R204" i="1"/>
  <c r="R202" i="1"/>
  <c r="R199" i="1"/>
  <c r="R198" i="1"/>
  <c r="R196" i="1"/>
  <c r="R194" i="1"/>
  <c r="R190" i="1"/>
  <c r="R188" i="1"/>
  <c r="R186" i="1"/>
  <c r="R184" i="1"/>
  <c r="R183" i="1"/>
  <c r="R182" i="1"/>
  <c r="R180" i="1"/>
  <c r="R178" i="1"/>
  <c r="R176" i="1"/>
  <c r="R175" i="1"/>
  <c r="R174" i="1"/>
  <c r="R170" i="1"/>
  <c r="R168" i="1"/>
  <c r="R166" i="1"/>
  <c r="R164" i="1"/>
  <c r="R162" i="1"/>
  <c r="R160" i="1"/>
  <c r="R158" i="1"/>
  <c r="R156" i="1"/>
  <c r="H149" i="1"/>
  <c r="F149" i="1"/>
  <c r="D149" i="1"/>
  <c r="B149" i="1"/>
  <c r="F148" i="1"/>
  <c r="D148" i="1"/>
  <c r="B148" i="1"/>
  <c r="H148" i="1"/>
  <c r="F147" i="1"/>
  <c r="D147" i="1"/>
  <c r="B147" i="1"/>
  <c r="D146" i="1"/>
  <c r="B146" i="1"/>
  <c r="R145" i="1"/>
  <c r="R144" i="1"/>
  <c r="R143" i="1"/>
  <c r="R142" i="1"/>
  <c r="R139" i="1"/>
  <c r="R138" i="1"/>
  <c r="R137" i="1"/>
  <c r="R136" i="1"/>
  <c r="R135" i="1"/>
  <c r="R134" i="1"/>
  <c r="R133" i="1"/>
  <c r="R132" i="1"/>
  <c r="R131" i="1"/>
  <c r="R130" i="1"/>
  <c r="R129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8" i="1"/>
  <c r="R97" i="1"/>
  <c r="R96" i="1"/>
  <c r="R95" i="1"/>
  <c r="R94" i="1"/>
  <c r="R93" i="1"/>
  <c r="R92" i="1"/>
  <c r="R91" i="1"/>
  <c r="R90" i="1"/>
  <c r="R89" i="1"/>
  <c r="R88" i="1"/>
  <c r="R87" i="1"/>
  <c r="F145" i="1"/>
  <c r="D145" i="1"/>
  <c r="B145" i="1"/>
  <c r="D95" i="1"/>
  <c r="F95" i="1"/>
  <c r="D96" i="1"/>
  <c r="F96" i="1"/>
  <c r="D97" i="1"/>
  <c r="F97" i="1"/>
  <c r="D98" i="1"/>
  <c r="F98" i="1"/>
  <c r="D100" i="1"/>
  <c r="F100" i="1"/>
  <c r="D101" i="1"/>
  <c r="F101" i="1"/>
  <c r="D102" i="1"/>
  <c r="F102" i="1"/>
  <c r="D103" i="1"/>
  <c r="F103" i="1"/>
  <c r="D104" i="1"/>
  <c r="F104" i="1"/>
  <c r="D105" i="1"/>
  <c r="F105" i="1"/>
  <c r="D106" i="1"/>
  <c r="F106" i="1"/>
  <c r="D107" i="1"/>
  <c r="F107" i="1"/>
  <c r="D108" i="1"/>
  <c r="F108" i="1"/>
  <c r="D109" i="1"/>
  <c r="F109" i="1"/>
  <c r="D110" i="1"/>
  <c r="F110" i="1"/>
  <c r="D111" i="1"/>
  <c r="F111" i="1"/>
  <c r="D112" i="1"/>
  <c r="F112" i="1"/>
  <c r="D113" i="1"/>
  <c r="F113" i="1"/>
  <c r="D114" i="1"/>
  <c r="F114" i="1"/>
  <c r="D115" i="1"/>
  <c r="F115" i="1"/>
  <c r="D116" i="1"/>
  <c r="F116" i="1"/>
  <c r="D117" i="1"/>
  <c r="F117" i="1"/>
  <c r="D118" i="1"/>
  <c r="F118" i="1"/>
  <c r="D119" i="1"/>
  <c r="F119" i="1"/>
  <c r="D120" i="1"/>
  <c r="F120" i="1"/>
  <c r="D121" i="1"/>
  <c r="F121" i="1"/>
  <c r="D122" i="1"/>
  <c r="F122" i="1"/>
  <c r="D123" i="1"/>
  <c r="F123" i="1"/>
  <c r="D124" i="1"/>
  <c r="F124" i="1"/>
  <c r="D125" i="1"/>
  <c r="F125" i="1"/>
  <c r="D126" i="1"/>
  <c r="F126" i="1"/>
  <c r="D127" i="1"/>
  <c r="F127" i="1"/>
  <c r="D128" i="1"/>
  <c r="F128" i="1"/>
  <c r="D129" i="1"/>
  <c r="F129" i="1"/>
  <c r="D130" i="1"/>
  <c r="F130" i="1"/>
  <c r="D131" i="1"/>
  <c r="F131" i="1"/>
  <c r="D132" i="1"/>
  <c r="F132" i="1"/>
  <c r="D133" i="1"/>
  <c r="F133" i="1"/>
  <c r="D134" i="1"/>
  <c r="F134" i="1"/>
  <c r="D135" i="1"/>
  <c r="F135" i="1"/>
  <c r="D136" i="1"/>
  <c r="F136" i="1"/>
  <c r="D137" i="1"/>
  <c r="F137" i="1"/>
  <c r="D138" i="1"/>
  <c r="F138" i="1"/>
  <c r="D139" i="1"/>
  <c r="F139" i="1"/>
  <c r="D141" i="1"/>
  <c r="F141" i="1"/>
  <c r="D142" i="1"/>
  <c r="F142" i="1"/>
  <c r="D143" i="1"/>
  <c r="F143" i="1"/>
  <c r="D144" i="1"/>
  <c r="F144" i="1"/>
  <c r="B95" i="1"/>
  <c r="B96" i="1"/>
  <c r="B97" i="1"/>
  <c r="B98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1" i="1"/>
  <c r="B142" i="1"/>
  <c r="B143" i="1"/>
  <c r="B144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F6" i="1"/>
  <c r="H91" i="1"/>
  <c r="N91" i="1" s="1"/>
  <c r="H92" i="1"/>
  <c r="N92" i="1" s="1"/>
  <c r="H93" i="1"/>
  <c r="N93" i="1" s="1"/>
  <c r="H94" i="1"/>
  <c r="N94" i="1" s="1"/>
  <c r="H95" i="1"/>
  <c r="N95" i="1" s="1"/>
  <c r="H96" i="1"/>
  <c r="N96" i="1" s="1"/>
  <c r="H97" i="1"/>
  <c r="N97" i="1" s="1"/>
  <c r="H98" i="1"/>
  <c r="N98" i="1" s="1"/>
  <c r="H100" i="1"/>
  <c r="N100" i="1" s="1"/>
  <c r="H101" i="1"/>
  <c r="N101" i="1" s="1"/>
  <c r="H102" i="1"/>
  <c r="N102" i="1" s="1"/>
  <c r="H103" i="1"/>
  <c r="N103" i="1" s="1"/>
  <c r="H104" i="1"/>
  <c r="N104" i="1" s="1"/>
  <c r="H105" i="1"/>
  <c r="N105" i="1" s="1"/>
  <c r="H106" i="1"/>
  <c r="N106" i="1" s="1"/>
  <c r="H107" i="1"/>
  <c r="N107" i="1" s="1"/>
  <c r="H108" i="1"/>
  <c r="N108" i="1" s="1"/>
  <c r="H109" i="1"/>
  <c r="N109" i="1" s="1"/>
  <c r="H110" i="1"/>
  <c r="N110" i="1" s="1"/>
  <c r="H111" i="1"/>
  <c r="N111" i="1" s="1"/>
  <c r="H112" i="1"/>
  <c r="N112" i="1" s="1"/>
  <c r="H113" i="1"/>
  <c r="N113" i="1" s="1"/>
  <c r="H114" i="1"/>
  <c r="N114" i="1" s="1"/>
  <c r="H115" i="1"/>
  <c r="N115" i="1" s="1"/>
  <c r="H116" i="1"/>
  <c r="N116" i="1" s="1"/>
  <c r="H117" i="1"/>
  <c r="N117" i="1" s="1"/>
  <c r="H118" i="1"/>
  <c r="N118" i="1" s="1"/>
  <c r="H119" i="1"/>
  <c r="N119" i="1" s="1"/>
  <c r="H120" i="1"/>
  <c r="N120" i="1" s="1"/>
  <c r="H121" i="1"/>
  <c r="N121" i="1" s="1"/>
  <c r="H122" i="1"/>
  <c r="N122" i="1" s="1"/>
  <c r="H123" i="1"/>
  <c r="N123" i="1" s="1"/>
  <c r="H124" i="1"/>
  <c r="N124" i="1" s="1"/>
  <c r="H125" i="1"/>
  <c r="N125" i="1" s="1"/>
  <c r="H126" i="1"/>
  <c r="N126" i="1" s="1"/>
  <c r="H127" i="1"/>
  <c r="N127" i="1" s="1"/>
  <c r="H128" i="1"/>
  <c r="N128" i="1" s="1"/>
  <c r="H129" i="1"/>
  <c r="N129" i="1" s="1"/>
  <c r="H130" i="1"/>
  <c r="N130" i="1" s="1"/>
  <c r="H131" i="1"/>
  <c r="N131" i="1" s="1"/>
  <c r="H132" i="1"/>
  <c r="N132" i="1" s="1"/>
  <c r="H133" i="1"/>
  <c r="N133" i="1" s="1"/>
  <c r="H134" i="1"/>
  <c r="N134" i="1" s="1"/>
  <c r="H135" i="1"/>
  <c r="N135" i="1" s="1"/>
  <c r="H136" i="1"/>
  <c r="N136" i="1" s="1"/>
  <c r="H137" i="1"/>
  <c r="N137" i="1" s="1"/>
  <c r="H138" i="1"/>
  <c r="N138" i="1" s="1"/>
  <c r="H139" i="1"/>
  <c r="N139" i="1" s="1"/>
  <c r="H141" i="1"/>
  <c r="N141" i="1" s="1"/>
  <c r="H142" i="1"/>
  <c r="N142" i="1" s="1"/>
  <c r="H143" i="1"/>
  <c r="N143" i="1" s="1"/>
  <c r="H144" i="1"/>
  <c r="N144" i="1" s="1"/>
  <c r="H145" i="1"/>
  <c r="N145" i="1" s="1"/>
  <c r="H83" i="1"/>
  <c r="N83" i="1" s="1"/>
  <c r="H84" i="1"/>
  <c r="N84" i="1" s="1"/>
  <c r="H85" i="1"/>
  <c r="N85" i="1" s="1"/>
  <c r="H86" i="1"/>
  <c r="N86" i="1" s="1"/>
  <c r="H87" i="1"/>
  <c r="N87" i="1" s="1"/>
  <c r="H88" i="1"/>
  <c r="N88" i="1" s="1"/>
  <c r="H89" i="1"/>
  <c r="N89" i="1" s="1"/>
  <c r="H90" i="1"/>
  <c r="N90" i="1" s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N78" i="1" s="1"/>
  <c r="H79" i="1"/>
  <c r="N79" i="1" s="1"/>
  <c r="H80" i="1"/>
  <c r="N80" i="1" s="1"/>
  <c r="H81" i="1"/>
  <c r="N81" i="1" s="1"/>
  <c r="H82" i="1"/>
  <c r="R85" i="1"/>
  <c r="R86" i="1"/>
  <c r="H7" i="1"/>
  <c r="S4" i="1"/>
  <c r="S3" i="1"/>
  <c r="S5" i="1"/>
  <c r="S6" i="1"/>
  <c r="S7" i="1"/>
  <c r="R79" i="1"/>
  <c r="R80" i="1"/>
  <c r="R81" i="1"/>
  <c r="R84" i="1"/>
  <c r="R78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Q796" i="1" l="1"/>
  <c r="Q879" i="1"/>
  <c r="Q940" i="1"/>
  <c r="Q622" i="1"/>
  <c r="Q615" i="1"/>
  <c r="Q614" i="1"/>
  <c r="Q600" i="1"/>
  <c r="Q593" i="1"/>
  <c r="O103" i="1"/>
  <c r="Q103" i="1" s="1"/>
  <c r="R433" i="1"/>
  <c r="N433" i="1"/>
  <c r="O87" i="1"/>
  <c r="Q86" i="1"/>
  <c r="O13" i="1"/>
  <c r="Q12" i="1"/>
  <c r="O81" i="1"/>
  <c r="Q81" i="1" s="1"/>
  <c r="Q80" i="1"/>
  <c r="O156" i="1"/>
  <c r="Q155" i="1"/>
  <c r="O54" i="1"/>
  <c r="Q53" i="1"/>
  <c r="O144" i="1"/>
  <c r="Q143" i="1"/>
  <c r="Q486" i="1"/>
  <c r="M503" i="1"/>
  <c r="O503" i="1" s="1"/>
  <c r="O504" i="1" s="1"/>
  <c r="O505" i="1" s="1"/>
  <c r="R141" i="1"/>
  <c r="R481" i="1"/>
  <c r="R128" i="1"/>
  <c r="R83" i="1"/>
  <c r="O131" i="1"/>
  <c r="Q131" i="1" s="1"/>
  <c r="R77" i="1"/>
  <c r="N77" i="1"/>
  <c r="R6" i="1"/>
  <c r="N6" i="1"/>
  <c r="R146" i="1"/>
  <c r="N146" i="1"/>
  <c r="R147" i="1"/>
  <c r="N147" i="1"/>
  <c r="R152" i="1"/>
  <c r="N152" i="1"/>
  <c r="R153" i="1"/>
  <c r="N153" i="1"/>
  <c r="R480" i="1"/>
  <c r="N480" i="1"/>
  <c r="R437" i="1"/>
  <c r="N437" i="1"/>
  <c r="R483" i="1"/>
  <c r="N483" i="1"/>
  <c r="R487" i="1"/>
  <c r="N487" i="1"/>
  <c r="R491" i="1"/>
  <c r="N491" i="1"/>
  <c r="R495" i="1"/>
  <c r="N495" i="1"/>
  <c r="R499" i="1"/>
  <c r="N499" i="1"/>
  <c r="R507" i="1"/>
  <c r="N507" i="1"/>
  <c r="R515" i="1"/>
  <c r="N515" i="1"/>
  <c r="R523" i="1"/>
  <c r="N523" i="1"/>
  <c r="R527" i="1"/>
  <c r="N527" i="1"/>
  <c r="R533" i="1"/>
  <c r="N533" i="1"/>
  <c r="R539" i="1"/>
  <c r="N539" i="1"/>
  <c r="R543" i="1"/>
  <c r="N543" i="1"/>
  <c r="R547" i="1"/>
  <c r="N547" i="1"/>
  <c r="R555" i="1"/>
  <c r="N555" i="1"/>
  <c r="R563" i="1"/>
  <c r="N563" i="1"/>
  <c r="R567" i="1"/>
  <c r="N567" i="1"/>
  <c r="R575" i="1"/>
  <c r="N575" i="1"/>
  <c r="R579" i="1"/>
  <c r="N579" i="1"/>
  <c r="R587" i="1"/>
  <c r="N587" i="1"/>
  <c r="R591" i="1"/>
  <c r="N591" i="1"/>
  <c r="R599" i="1"/>
  <c r="N599" i="1"/>
  <c r="R603" i="1"/>
  <c r="N603" i="1"/>
  <c r="R611" i="1"/>
  <c r="N611" i="1"/>
  <c r="R615" i="1"/>
  <c r="N615" i="1"/>
  <c r="R619" i="1"/>
  <c r="N619" i="1"/>
  <c r="R623" i="1"/>
  <c r="N623" i="1"/>
  <c r="R627" i="1"/>
  <c r="N627" i="1"/>
  <c r="R631" i="1"/>
  <c r="N631" i="1"/>
  <c r="R635" i="1"/>
  <c r="N635" i="1"/>
  <c r="R639" i="1"/>
  <c r="N639" i="1"/>
  <c r="R643" i="1"/>
  <c r="N643" i="1"/>
  <c r="R647" i="1"/>
  <c r="N647" i="1"/>
  <c r="R651" i="1"/>
  <c r="N651" i="1"/>
  <c r="R655" i="1"/>
  <c r="N655" i="1"/>
  <c r="R659" i="1"/>
  <c r="N659" i="1"/>
  <c r="R663" i="1"/>
  <c r="N663" i="1"/>
  <c r="R667" i="1"/>
  <c r="N667" i="1"/>
  <c r="R671" i="1"/>
  <c r="N671" i="1"/>
  <c r="R675" i="1"/>
  <c r="N675" i="1"/>
  <c r="R679" i="1"/>
  <c r="N679" i="1"/>
  <c r="R683" i="1"/>
  <c r="N683" i="1"/>
  <c r="R687" i="1"/>
  <c r="N687" i="1"/>
  <c r="R691" i="1"/>
  <c r="N691" i="1"/>
  <c r="R695" i="1"/>
  <c r="N695" i="1"/>
  <c r="R699" i="1"/>
  <c r="N699" i="1"/>
  <c r="R703" i="1"/>
  <c r="N703" i="1"/>
  <c r="R707" i="1"/>
  <c r="N707" i="1"/>
  <c r="R711" i="1"/>
  <c r="N711" i="1"/>
  <c r="R715" i="1"/>
  <c r="N715" i="1"/>
  <c r="R719" i="1"/>
  <c r="N719" i="1"/>
  <c r="R723" i="1"/>
  <c r="N723" i="1"/>
  <c r="R727" i="1"/>
  <c r="N727" i="1"/>
  <c r="R731" i="1"/>
  <c r="N731" i="1"/>
  <c r="R735" i="1"/>
  <c r="N735" i="1"/>
  <c r="R739" i="1"/>
  <c r="N739" i="1"/>
  <c r="R743" i="1"/>
  <c r="N743" i="1"/>
  <c r="R747" i="1"/>
  <c r="N747" i="1"/>
  <c r="R751" i="1"/>
  <c r="N751" i="1"/>
  <c r="R755" i="1"/>
  <c r="N755" i="1"/>
  <c r="R759" i="1"/>
  <c r="N759" i="1"/>
  <c r="R763" i="1"/>
  <c r="N763" i="1"/>
  <c r="R767" i="1"/>
  <c r="N767" i="1"/>
  <c r="R771" i="1"/>
  <c r="N771" i="1"/>
  <c r="R775" i="1"/>
  <c r="N775" i="1"/>
  <c r="R779" i="1"/>
  <c r="N779" i="1"/>
  <c r="R783" i="1"/>
  <c r="N783" i="1"/>
  <c r="R787" i="1"/>
  <c r="N787" i="1"/>
  <c r="R791" i="1"/>
  <c r="N791" i="1"/>
  <c r="R795" i="1"/>
  <c r="R799" i="1"/>
  <c r="R803" i="1"/>
  <c r="R807" i="1"/>
  <c r="R811" i="1"/>
  <c r="R815" i="1"/>
  <c r="R819" i="1"/>
  <c r="R823" i="1"/>
  <c r="R827" i="1"/>
  <c r="R831" i="1"/>
  <c r="R835" i="1"/>
  <c r="R839" i="1"/>
  <c r="R843" i="1"/>
  <c r="R847" i="1"/>
  <c r="R851" i="1"/>
  <c r="R855" i="1"/>
  <c r="N855" i="1"/>
  <c r="R859" i="1"/>
  <c r="N859" i="1"/>
  <c r="R863" i="1"/>
  <c r="N863" i="1"/>
  <c r="R867" i="1"/>
  <c r="N867" i="1"/>
  <c r="R871" i="1"/>
  <c r="N871" i="1"/>
  <c r="N875" i="1"/>
  <c r="N879" i="1"/>
  <c r="N883" i="1"/>
  <c r="N887" i="1"/>
  <c r="N891" i="1"/>
  <c r="N895" i="1"/>
  <c r="N899" i="1"/>
  <c r="N903" i="1"/>
  <c r="N907" i="1"/>
  <c r="N911" i="1"/>
  <c r="N915" i="1"/>
  <c r="N919" i="1"/>
  <c r="N923" i="1"/>
  <c r="N927" i="1"/>
  <c r="N931" i="1"/>
  <c r="N935" i="1"/>
  <c r="N939" i="1"/>
  <c r="N943" i="1"/>
  <c r="N947" i="1"/>
  <c r="N951" i="1"/>
  <c r="N955" i="1"/>
  <c r="R5" i="1"/>
  <c r="N5" i="1"/>
  <c r="R148" i="1"/>
  <c r="N148" i="1"/>
  <c r="R438" i="1"/>
  <c r="N438" i="1"/>
  <c r="R484" i="1"/>
  <c r="N484" i="1"/>
  <c r="R488" i="1"/>
  <c r="N488" i="1"/>
  <c r="R492" i="1"/>
  <c r="N492" i="1"/>
  <c r="R496" i="1"/>
  <c r="N496" i="1"/>
  <c r="R502" i="1"/>
  <c r="N502" i="1"/>
  <c r="R508" i="1"/>
  <c r="N508" i="1"/>
  <c r="R516" i="1"/>
  <c r="N516" i="1"/>
  <c r="R524" i="1"/>
  <c r="N524" i="1"/>
  <c r="R530" i="1"/>
  <c r="N530" i="1"/>
  <c r="R534" i="1"/>
  <c r="N534" i="1"/>
  <c r="R540" i="1"/>
  <c r="N540" i="1"/>
  <c r="R544" i="1"/>
  <c r="N544" i="1"/>
  <c r="R552" i="1"/>
  <c r="N552" i="1"/>
  <c r="R556" i="1"/>
  <c r="N556" i="1"/>
  <c r="R564" i="1"/>
  <c r="N564" i="1"/>
  <c r="R568" i="1"/>
  <c r="N568" i="1"/>
  <c r="R576" i="1"/>
  <c r="N576" i="1"/>
  <c r="R580" i="1"/>
  <c r="N580" i="1"/>
  <c r="R588" i="1"/>
  <c r="N588" i="1"/>
  <c r="R596" i="1"/>
  <c r="N596" i="1"/>
  <c r="R600" i="1"/>
  <c r="N600" i="1"/>
  <c r="R608" i="1"/>
  <c r="N608" i="1"/>
  <c r="R612" i="1"/>
  <c r="N612" i="1"/>
  <c r="R616" i="1"/>
  <c r="N616" i="1"/>
  <c r="R620" i="1"/>
  <c r="N620" i="1"/>
  <c r="R624" i="1"/>
  <c r="N624" i="1"/>
  <c r="R628" i="1"/>
  <c r="N628" i="1"/>
  <c r="R632" i="1"/>
  <c r="N632" i="1"/>
  <c r="R636" i="1"/>
  <c r="N636" i="1"/>
  <c r="R640" i="1"/>
  <c r="N640" i="1"/>
  <c r="R644" i="1"/>
  <c r="N644" i="1"/>
  <c r="R648" i="1"/>
  <c r="N648" i="1"/>
  <c r="R652" i="1"/>
  <c r="N652" i="1"/>
  <c r="R656" i="1"/>
  <c r="N656" i="1"/>
  <c r="R660" i="1"/>
  <c r="N660" i="1"/>
  <c r="R664" i="1"/>
  <c r="N664" i="1"/>
  <c r="R668" i="1"/>
  <c r="N668" i="1"/>
  <c r="R672" i="1"/>
  <c r="N672" i="1"/>
  <c r="R676" i="1"/>
  <c r="N676" i="1"/>
  <c r="R680" i="1"/>
  <c r="N680" i="1"/>
  <c r="R684" i="1"/>
  <c r="N684" i="1"/>
  <c r="R688" i="1"/>
  <c r="N688" i="1"/>
  <c r="R692" i="1"/>
  <c r="N692" i="1"/>
  <c r="R696" i="1"/>
  <c r="N696" i="1"/>
  <c r="R700" i="1"/>
  <c r="N700" i="1"/>
  <c r="R704" i="1"/>
  <c r="N704" i="1"/>
  <c r="R708" i="1"/>
  <c r="N708" i="1"/>
  <c r="R712" i="1"/>
  <c r="N712" i="1"/>
  <c r="R716" i="1"/>
  <c r="N716" i="1"/>
  <c r="R720" i="1"/>
  <c r="N720" i="1"/>
  <c r="R724" i="1"/>
  <c r="N724" i="1"/>
  <c r="R728" i="1"/>
  <c r="N728" i="1"/>
  <c r="R732" i="1"/>
  <c r="N732" i="1"/>
  <c r="R736" i="1"/>
  <c r="N736" i="1"/>
  <c r="R740" i="1"/>
  <c r="N740" i="1"/>
  <c r="R744" i="1"/>
  <c r="N744" i="1"/>
  <c r="R748" i="1"/>
  <c r="N748" i="1"/>
  <c r="R752" i="1"/>
  <c r="N752" i="1"/>
  <c r="R756" i="1"/>
  <c r="N756" i="1"/>
  <c r="R760" i="1"/>
  <c r="N760" i="1"/>
  <c r="R764" i="1"/>
  <c r="N764" i="1"/>
  <c r="R768" i="1"/>
  <c r="N768" i="1"/>
  <c r="R772" i="1"/>
  <c r="N772" i="1"/>
  <c r="R776" i="1"/>
  <c r="N776" i="1"/>
  <c r="R780" i="1"/>
  <c r="N780" i="1"/>
  <c r="R784" i="1"/>
  <c r="N784" i="1"/>
  <c r="R788" i="1"/>
  <c r="N788" i="1"/>
  <c r="R792" i="1"/>
  <c r="N792" i="1"/>
  <c r="R796" i="1"/>
  <c r="R800" i="1"/>
  <c r="R804" i="1"/>
  <c r="R808" i="1"/>
  <c r="R812" i="1"/>
  <c r="R816" i="1"/>
  <c r="R820" i="1"/>
  <c r="R824" i="1"/>
  <c r="R828" i="1"/>
  <c r="R832" i="1"/>
  <c r="R836" i="1"/>
  <c r="R840" i="1"/>
  <c r="R844" i="1"/>
  <c r="R848" i="1"/>
  <c r="R852" i="1"/>
  <c r="R856" i="1"/>
  <c r="N856" i="1"/>
  <c r="R860" i="1"/>
  <c r="N860" i="1"/>
  <c r="R864" i="1"/>
  <c r="N864" i="1"/>
  <c r="R868" i="1"/>
  <c r="N868" i="1"/>
  <c r="R872" i="1"/>
  <c r="N872" i="1"/>
  <c r="N876" i="1"/>
  <c r="N880" i="1"/>
  <c r="N884" i="1"/>
  <c r="N888" i="1"/>
  <c r="N892" i="1"/>
  <c r="N896" i="1"/>
  <c r="N900" i="1"/>
  <c r="N904" i="1"/>
  <c r="N908" i="1"/>
  <c r="N912" i="1"/>
  <c r="N916" i="1"/>
  <c r="N920" i="1"/>
  <c r="N924" i="1"/>
  <c r="N928" i="1"/>
  <c r="N932" i="1"/>
  <c r="N936" i="1"/>
  <c r="N940" i="1"/>
  <c r="N944" i="1"/>
  <c r="N948" i="1"/>
  <c r="N952" i="1"/>
  <c r="R7" i="1"/>
  <c r="N7" i="1"/>
  <c r="R82" i="1"/>
  <c r="N82" i="1"/>
  <c r="N4" i="1"/>
  <c r="R4" i="1"/>
  <c r="R149" i="1"/>
  <c r="N149" i="1"/>
  <c r="R215" i="1"/>
  <c r="N215" i="1"/>
  <c r="R439" i="1"/>
  <c r="N439" i="1"/>
  <c r="R482" i="1"/>
  <c r="N482" i="1"/>
  <c r="R485" i="1"/>
  <c r="N485" i="1"/>
  <c r="R493" i="1"/>
  <c r="N493" i="1"/>
  <c r="R497" i="1"/>
  <c r="N497" i="1"/>
  <c r="R503" i="1"/>
  <c r="N503" i="1"/>
  <c r="R509" i="1"/>
  <c r="N509" i="1"/>
  <c r="R517" i="1"/>
  <c r="N517" i="1"/>
  <c r="R525" i="1"/>
  <c r="N525" i="1"/>
  <c r="R531" i="1"/>
  <c r="N531" i="1"/>
  <c r="R537" i="1"/>
  <c r="N537" i="1"/>
  <c r="R541" i="1"/>
  <c r="N541" i="1"/>
  <c r="R545" i="1"/>
  <c r="N545" i="1"/>
  <c r="R553" i="1"/>
  <c r="N553" i="1"/>
  <c r="R557" i="1"/>
  <c r="N557" i="1"/>
  <c r="R565" i="1"/>
  <c r="N565" i="1"/>
  <c r="R569" i="1"/>
  <c r="N569" i="1"/>
  <c r="R577" i="1"/>
  <c r="N577" i="1"/>
  <c r="R585" i="1"/>
  <c r="N585" i="1"/>
  <c r="R589" i="1"/>
  <c r="N589" i="1"/>
  <c r="R597" i="1"/>
  <c r="N597" i="1"/>
  <c r="R601" i="1"/>
  <c r="N601" i="1"/>
  <c r="R609" i="1"/>
  <c r="N609" i="1"/>
  <c r="R613" i="1"/>
  <c r="N613" i="1"/>
  <c r="R617" i="1"/>
  <c r="N617" i="1"/>
  <c r="R621" i="1"/>
  <c r="N621" i="1"/>
  <c r="R625" i="1"/>
  <c r="N625" i="1"/>
  <c r="R629" i="1"/>
  <c r="N629" i="1"/>
  <c r="R633" i="1"/>
  <c r="N633" i="1"/>
  <c r="R637" i="1"/>
  <c r="N637" i="1"/>
  <c r="R641" i="1"/>
  <c r="N641" i="1"/>
  <c r="R645" i="1"/>
  <c r="N645" i="1"/>
  <c r="R649" i="1"/>
  <c r="N649" i="1"/>
  <c r="R653" i="1"/>
  <c r="N653" i="1"/>
  <c r="R657" i="1"/>
  <c r="N657" i="1"/>
  <c r="R661" i="1"/>
  <c r="N661" i="1"/>
  <c r="R665" i="1"/>
  <c r="N665" i="1"/>
  <c r="R669" i="1"/>
  <c r="N669" i="1"/>
  <c r="R673" i="1"/>
  <c r="N673" i="1"/>
  <c r="R677" i="1"/>
  <c r="N677" i="1"/>
  <c r="R681" i="1"/>
  <c r="N681" i="1"/>
  <c r="R685" i="1"/>
  <c r="N685" i="1"/>
  <c r="R689" i="1"/>
  <c r="N689" i="1"/>
  <c r="R693" i="1"/>
  <c r="N693" i="1"/>
  <c r="R697" i="1"/>
  <c r="N697" i="1"/>
  <c r="R701" i="1"/>
  <c r="N701" i="1"/>
  <c r="R705" i="1"/>
  <c r="N705" i="1"/>
  <c r="R709" i="1"/>
  <c r="N709" i="1"/>
  <c r="R713" i="1"/>
  <c r="N713" i="1"/>
  <c r="R717" i="1"/>
  <c r="N717" i="1"/>
  <c r="R721" i="1"/>
  <c r="N721" i="1"/>
  <c r="R725" i="1"/>
  <c r="N725" i="1"/>
  <c r="R729" i="1"/>
  <c r="N729" i="1"/>
  <c r="R733" i="1"/>
  <c r="N733" i="1"/>
  <c r="R737" i="1"/>
  <c r="N737" i="1"/>
  <c r="R741" i="1"/>
  <c r="N741" i="1"/>
  <c r="R745" i="1"/>
  <c r="N745" i="1"/>
  <c r="R749" i="1"/>
  <c r="N749" i="1"/>
  <c r="R753" i="1"/>
  <c r="N753" i="1"/>
  <c r="R757" i="1"/>
  <c r="N757" i="1"/>
  <c r="R761" i="1"/>
  <c r="N761" i="1"/>
  <c r="R765" i="1"/>
  <c r="N765" i="1"/>
  <c r="R769" i="1"/>
  <c r="N769" i="1"/>
  <c r="R773" i="1"/>
  <c r="N773" i="1"/>
  <c r="R777" i="1"/>
  <c r="N777" i="1"/>
  <c r="R781" i="1"/>
  <c r="N781" i="1"/>
  <c r="R785" i="1"/>
  <c r="N785" i="1"/>
  <c r="R789" i="1"/>
  <c r="N789" i="1"/>
  <c r="R793" i="1"/>
  <c r="N793" i="1"/>
  <c r="R797" i="1"/>
  <c r="R801" i="1"/>
  <c r="R805" i="1"/>
  <c r="R809" i="1"/>
  <c r="R813" i="1"/>
  <c r="R817" i="1"/>
  <c r="R821" i="1"/>
  <c r="R825" i="1"/>
  <c r="R829" i="1"/>
  <c r="R833" i="1"/>
  <c r="R837" i="1"/>
  <c r="R841" i="1"/>
  <c r="R845" i="1"/>
  <c r="R849" i="1"/>
  <c r="R853" i="1"/>
  <c r="N853" i="1"/>
  <c r="R857" i="1"/>
  <c r="N857" i="1"/>
  <c r="R861" i="1"/>
  <c r="N861" i="1"/>
  <c r="R865" i="1"/>
  <c r="N865" i="1"/>
  <c r="R869" i="1"/>
  <c r="N869" i="1"/>
  <c r="N873" i="1"/>
  <c r="N877" i="1"/>
  <c r="N881" i="1"/>
  <c r="N885" i="1"/>
  <c r="N889" i="1"/>
  <c r="N893" i="1"/>
  <c r="N897" i="1"/>
  <c r="N901" i="1"/>
  <c r="N905" i="1"/>
  <c r="N909" i="1"/>
  <c r="N913" i="1"/>
  <c r="N917" i="1"/>
  <c r="N921" i="1"/>
  <c r="N925" i="1"/>
  <c r="N929" i="1"/>
  <c r="N933" i="1"/>
  <c r="N937" i="1"/>
  <c r="N941" i="1"/>
  <c r="N945" i="1"/>
  <c r="N949" i="1"/>
  <c r="N953" i="1"/>
  <c r="R154" i="1"/>
  <c r="N154" i="1"/>
  <c r="R391" i="1"/>
  <c r="N391" i="1"/>
  <c r="R486" i="1"/>
  <c r="N486" i="1"/>
  <c r="R490" i="1"/>
  <c r="N490" i="1"/>
  <c r="R494" i="1"/>
  <c r="N494" i="1"/>
  <c r="R498" i="1"/>
  <c r="N498" i="1"/>
  <c r="R506" i="1"/>
  <c r="N506" i="1"/>
  <c r="R514" i="1"/>
  <c r="N514" i="1"/>
  <c r="R518" i="1"/>
  <c r="N518" i="1"/>
  <c r="R526" i="1"/>
  <c r="N526" i="1"/>
  <c r="R532" i="1"/>
  <c r="N532" i="1"/>
  <c r="R538" i="1"/>
  <c r="N538" i="1"/>
  <c r="R542" i="1"/>
  <c r="N542" i="1"/>
  <c r="R546" i="1"/>
  <c r="N546" i="1"/>
  <c r="R554" i="1"/>
  <c r="N554" i="1"/>
  <c r="R558" i="1"/>
  <c r="N558" i="1"/>
  <c r="R566" i="1"/>
  <c r="N566" i="1"/>
  <c r="R574" i="1"/>
  <c r="N574" i="1"/>
  <c r="R578" i="1"/>
  <c r="N578" i="1"/>
  <c r="R586" i="1"/>
  <c r="N586" i="1"/>
  <c r="R590" i="1"/>
  <c r="N590" i="1"/>
  <c r="R598" i="1"/>
  <c r="N598" i="1"/>
  <c r="R602" i="1"/>
  <c r="N602" i="1"/>
  <c r="R610" i="1"/>
  <c r="N610" i="1"/>
  <c r="R614" i="1"/>
  <c r="N614" i="1"/>
  <c r="R618" i="1"/>
  <c r="N618" i="1"/>
  <c r="R622" i="1"/>
  <c r="N622" i="1"/>
  <c r="R626" i="1"/>
  <c r="N626" i="1"/>
  <c r="R630" i="1"/>
  <c r="N630" i="1"/>
  <c r="R634" i="1"/>
  <c r="N634" i="1"/>
  <c r="R638" i="1"/>
  <c r="N638" i="1"/>
  <c r="R642" i="1"/>
  <c r="N642" i="1"/>
  <c r="R646" i="1"/>
  <c r="N646" i="1"/>
  <c r="R650" i="1"/>
  <c r="N650" i="1"/>
  <c r="R654" i="1"/>
  <c r="N654" i="1"/>
  <c r="R658" i="1"/>
  <c r="N658" i="1"/>
  <c r="R662" i="1"/>
  <c r="N662" i="1"/>
  <c r="R666" i="1"/>
  <c r="N666" i="1"/>
  <c r="R670" i="1"/>
  <c r="N670" i="1"/>
  <c r="R674" i="1"/>
  <c r="N674" i="1"/>
  <c r="R678" i="1"/>
  <c r="N678" i="1"/>
  <c r="R682" i="1"/>
  <c r="N682" i="1"/>
  <c r="R686" i="1"/>
  <c r="N686" i="1"/>
  <c r="R690" i="1"/>
  <c r="N690" i="1"/>
  <c r="R694" i="1"/>
  <c r="N694" i="1"/>
  <c r="R698" i="1"/>
  <c r="N698" i="1"/>
  <c r="R702" i="1"/>
  <c r="N702" i="1"/>
  <c r="R706" i="1"/>
  <c r="N706" i="1"/>
  <c r="R710" i="1"/>
  <c r="N710" i="1"/>
  <c r="R714" i="1"/>
  <c r="N714" i="1"/>
  <c r="R718" i="1"/>
  <c r="N718" i="1"/>
  <c r="R722" i="1"/>
  <c r="N722" i="1"/>
  <c r="R726" i="1"/>
  <c r="N726" i="1"/>
  <c r="R730" i="1"/>
  <c r="N730" i="1"/>
  <c r="R734" i="1"/>
  <c r="N734" i="1"/>
  <c r="R738" i="1"/>
  <c r="N738" i="1"/>
  <c r="R742" i="1"/>
  <c r="N742" i="1"/>
  <c r="R746" i="1"/>
  <c r="N746" i="1"/>
  <c r="R750" i="1"/>
  <c r="N750" i="1"/>
  <c r="R754" i="1"/>
  <c r="N754" i="1"/>
  <c r="R758" i="1"/>
  <c r="N758" i="1"/>
  <c r="R762" i="1"/>
  <c r="N762" i="1"/>
  <c r="R766" i="1"/>
  <c r="N766" i="1"/>
  <c r="R770" i="1"/>
  <c r="N770" i="1"/>
  <c r="R774" i="1"/>
  <c r="N774" i="1"/>
  <c r="R778" i="1"/>
  <c r="N778" i="1"/>
  <c r="R782" i="1"/>
  <c r="N782" i="1"/>
  <c r="R786" i="1"/>
  <c r="N786" i="1"/>
  <c r="R790" i="1"/>
  <c r="N790" i="1"/>
  <c r="R794" i="1"/>
  <c r="R798" i="1"/>
  <c r="R802" i="1"/>
  <c r="R806" i="1"/>
  <c r="R810" i="1"/>
  <c r="R814" i="1"/>
  <c r="R818" i="1"/>
  <c r="R822" i="1"/>
  <c r="R826" i="1"/>
  <c r="R830" i="1"/>
  <c r="R834" i="1"/>
  <c r="R838" i="1"/>
  <c r="R842" i="1"/>
  <c r="R846" i="1"/>
  <c r="R850" i="1"/>
  <c r="R854" i="1"/>
  <c r="N854" i="1"/>
  <c r="R858" i="1"/>
  <c r="N858" i="1"/>
  <c r="R862" i="1"/>
  <c r="N862" i="1"/>
  <c r="R866" i="1"/>
  <c r="N866" i="1"/>
  <c r="R870" i="1"/>
  <c r="N870" i="1"/>
  <c r="N874" i="1"/>
  <c r="N878" i="1"/>
  <c r="N882" i="1"/>
  <c r="N886" i="1"/>
  <c r="N890" i="1"/>
  <c r="N894" i="1"/>
  <c r="N898" i="1"/>
  <c r="N902" i="1"/>
  <c r="N906" i="1"/>
  <c r="N910" i="1"/>
  <c r="N914" i="1"/>
  <c r="N918" i="1"/>
  <c r="N922" i="1"/>
  <c r="N926" i="1"/>
  <c r="N930" i="1"/>
  <c r="N934" i="1"/>
  <c r="N938" i="1"/>
  <c r="N942" i="1"/>
  <c r="N946" i="1"/>
  <c r="N950" i="1"/>
  <c r="N954" i="1"/>
  <c r="Q880" i="1" l="1"/>
  <c r="Q941" i="1"/>
  <c r="Q797" i="1"/>
  <c r="Q601" i="1"/>
  <c r="Q623" i="1"/>
  <c r="Q595" i="1"/>
  <c r="Q594" i="1"/>
  <c r="O104" i="1"/>
  <c r="Q104" i="1" s="1"/>
  <c r="Q500" i="1"/>
  <c r="O55" i="1"/>
  <c r="Q54" i="1"/>
  <c r="O88" i="1"/>
  <c r="Q87" i="1"/>
  <c r="O145" i="1"/>
  <c r="Q145" i="1" s="1"/>
  <c r="Q144" i="1"/>
  <c r="O157" i="1"/>
  <c r="Q156" i="1"/>
  <c r="O14" i="1"/>
  <c r="Q13" i="1"/>
  <c r="Q487" i="1"/>
  <c r="M506" i="1"/>
  <c r="O506" i="1" s="1"/>
  <c r="O132" i="1"/>
  <c r="Q132" i="1" s="1"/>
  <c r="O105" i="1"/>
  <c r="Q105" i="1" s="1"/>
  <c r="Q942" i="1" l="1"/>
  <c r="Q881" i="1"/>
  <c r="Q798" i="1"/>
  <c r="Q624" i="1"/>
  <c r="Q602" i="1"/>
  <c r="Q501" i="1"/>
  <c r="O158" i="1"/>
  <c r="Q157" i="1"/>
  <c r="O89" i="1"/>
  <c r="Q88" i="1"/>
  <c r="O15" i="1"/>
  <c r="Q14" i="1"/>
  <c r="O56" i="1"/>
  <c r="Q55" i="1"/>
  <c r="Q488" i="1"/>
  <c r="M507" i="1"/>
  <c r="O507" i="1" s="1"/>
  <c r="O133" i="1"/>
  <c r="Q133" i="1" s="1"/>
  <c r="O106" i="1"/>
  <c r="Q106" i="1" s="1"/>
  <c r="Q882" i="1" l="1"/>
  <c r="Q799" i="1"/>
  <c r="Q943" i="1"/>
  <c r="Q603" i="1"/>
  <c r="Q625" i="1"/>
  <c r="Q502" i="1"/>
  <c r="O57" i="1"/>
  <c r="Q56" i="1"/>
  <c r="O90" i="1"/>
  <c r="Q89" i="1"/>
  <c r="O16" i="1"/>
  <c r="Q15" i="1"/>
  <c r="O159" i="1"/>
  <c r="Q158" i="1"/>
  <c r="Q489" i="1"/>
  <c r="M509" i="1"/>
  <c r="M508" i="1"/>
  <c r="O508" i="1" s="1"/>
  <c r="O134" i="1"/>
  <c r="Q134" i="1" s="1"/>
  <c r="O107" i="1"/>
  <c r="Q107" i="1" s="1"/>
  <c r="O509" i="1" l="1"/>
  <c r="O510" i="1" s="1"/>
  <c r="O511" i="1" s="1"/>
  <c r="O512" i="1" s="1"/>
  <c r="O513" i="1" s="1"/>
  <c r="Q800" i="1"/>
  <c r="Q944" i="1"/>
  <c r="Q883" i="1"/>
  <c r="Q626" i="1"/>
  <c r="Q605" i="1"/>
  <c r="Q604" i="1"/>
  <c r="Q504" i="1"/>
  <c r="Q505" i="1"/>
  <c r="Q514" i="1"/>
  <c r="Q503" i="1"/>
  <c r="O160" i="1"/>
  <c r="Q159" i="1"/>
  <c r="O91" i="1"/>
  <c r="Q90" i="1"/>
  <c r="O17" i="1"/>
  <c r="Q16" i="1"/>
  <c r="O58" i="1"/>
  <c r="Q57" i="1"/>
  <c r="Q515" i="1"/>
  <c r="O135" i="1"/>
  <c r="Q135" i="1" s="1"/>
  <c r="O108" i="1"/>
  <c r="Q108" i="1" s="1"/>
  <c r="Q945" i="1" l="1"/>
  <c r="Q884" i="1"/>
  <c r="Q801" i="1"/>
  <c r="Q627" i="1"/>
  <c r="Q506" i="1"/>
  <c r="O59" i="1"/>
  <c r="Q58" i="1"/>
  <c r="O92" i="1"/>
  <c r="Q91" i="1"/>
  <c r="O18" i="1"/>
  <c r="Q17" i="1"/>
  <c r="O161" i="1"/>
  <c r="Q160" i="1"/>
  <c r="Q491" i="1"/>
  <c r="Q490" i="1"/>
  <c r="Q516" i="1"/>
  <c r="O136" i="1"/>
  <c r="Q136" i="1" s="1"/>
  <c r="O109" i="1"/>
  <c r="Q109" i="1" s="1"/>
  <c r="Q885" i="1" l="1"/>
  <c r="Q802" i="1"/>
  <c r="Q946" i="1"/>
  <c r="Q628" i="1"/>
  <c r="Q507" i="1"/>
  <c r="O162" i="1"/>
  <c r="Q161" i="1"/>
  <c r="O93" i="1"/>
  <c r="Q92" i="1"/>
  <c r="O19" i="1"/>
  <c r="Q18" i="1"/>
  <c r="O60" i="1"/>
  <c r="Q59" i="1"/>
  <c r="Q517" i="1"/>
  <c r="O137" i="1"/>
  <c r="Q137" i="1" s="1"/>
  <c r="O110" i="1"/>
  <c r="Q110" i="1" s="1"/>
  <c r="Q803" i="1" l="1"/>
  <c r="Q947" i="1"/>
  <c r="Q886" i="1"/>
  <c r="Q629" i="1"/>
  <c r="Q508" i="1"/>
  <c r="O61" i="1"/>
  <c r="Q60" i="1"/>
  <c r="O94" i="1"/>
  <c r="Q93" i="1"/>
  <c r="O20" i="1"/>
  <c r="Q19" i="1"/>
  <c r="O163" i="1"/>
  <c r="Q162" i="1"/>
  <c r="O138" i="1"/>
  <c r="O111" i="1"/>
  <c r="Q111" i="1" s="1"/>
  <c r="Q948" i="1" l="1"/>
  <c r="Q887" i="1"/>
  <c r="Q804" i="1"/>
  <c r="Q630" i="1"/>
  <c r="Q518" i="1"/>
  <c r="Q509" i="1"/>
  <c r="O164" i="1"/>
  <c r="Q163" i="1"/>
  <c r="O95" i="1"/>
  <c r="Q94" i="1"/>
  <c r="O139" i="1"/>
  <c r="Q139" i="1" s="1"/>
  <c r="Q138" i="1"/>
  <c r="O21" i="1"/>
  <c r="Q20" i="1"/>
  <c r="O62" i="1"/>
  <c r="Q61" i="1"/>
  <c r="Q523" i="1"/>
  <c r="O112" i="1"/>
  <c r="Q112" i="1" s="1"/>
  <c r="Q888" i="1" l="1"/>
  <c r="Q949" i="1"/>
  <c r="Q805" i="1"/>
  <c r="Q631" i="1"/>
  <c r="Q519" i="1"/>
  <c r="Q520" i="1"/>
  <c r="Q510" i="1"/>
  <c r="O63" i="1"/>
  <c r="Q62" i="1"/>
  <c r="O22" i="1"/>
  <c r="Q21" i="1"/>
  <c r="O96" i="1"/>
  <c r="Q95" i="1"/>
  <c r="O165" i="1"/>
  <c r="Q164" i="1"/>
  <c r="Q524" i="1"/>
  <c r="O113" i="1"/>
  <c r="Q113" i="1" s="1"/>
  <c r="Q951" i="1" l="1"/>
  <c r="Q950" i="1"/>
  <c r="Q889" i="1"/>
  <c r="Q806" i="1"/>
  <c r="Q632" i="1"/>
  <c r="Q511" i="1"/>
  <c r="O166" i="1"/>
  <c r="Q165" i="1"/>
  <c r="O23" i="1"/>
  <c r="Q22" i="1"/>
  <c r="O97" i="1"/>
  <c r="Q96" i="1"/>
  <c r="O64" i="1"/>
  <c r="Q63" i="1"/>
  <c r="Q525" i="1"/>
  <c r="O114" i="1"/>
  <c r="Q114" i="1" s="1"/>
  <c r="Q890" i="1" l="1"/>
  <c r="Q807" i="1"/>
  <c r="Q911" i="1"/>
  <c r="Q633" i="1"/>
  <c r="Q512" i="1"/>
  <c r="Q513" i="1"/>
  <c r="O65" i="1"/>
  <c r="Q64" i="1"/>
  <c r="O24" i="1"/>
  <c r="Q23" i="1"/>
  <c r="O98" i="1"/>
  <c r="Q98" i="1" s="1"/>
  <c r="Q97" i="1"/>
  <c r="O167" i="1"/>
  <c r="Q166" i="1"/>
  <c r="Q526" i="1"/>
  <c r="O115" i="1"/>
  <c r="Q115" i="1" s="1"/>
  <c r="Q808" i="1" l="1"/>
  <c r="Q891" i="1"/>
  <c r="Q912" i="1"/>
  <c r="Q634" i="1"/>
  <c r="O168" i="1"/>
  <c r="Q167" i="1"/>
  <c r="O25" i="1"/>
  <c r="Q24" i="1"/>
  <c r="O66" i="1"/>
  <c r="Q65" i="1"/>
  <c r="O116" i="1"/>
  <c r="Q116" i="1" s="1"/>
  <c r="Q892" i="1" l="1"/>
  <c r="Q913" i="1"/>
  <c r="Q809" i="1"/>
  <c r="Q635" i="1"/>
  <c r="Q527" i="1"/>
  <c r="O26" i="1"/>
  <c r="Q25" i="1"/>
  <c r="O67" i="1"/>
  <c r="Q66" i="1"/>
  <c r="O169" i="1"/>
  <c r="Q168" i="1"/>
  <c r="Q530" i="1"/>
  <c r="O117" i="1"/>
  <c r="Q117" i="1" s="1"/>
  <c r="Q914" i="1" l="1"/>
  <c r="Q893" i="1"/>
  <c r="Q810" i="1"/>
  <c r="Q636" i="1"/>
  <c r="Q528" i="1"/>
  <c r="Q529" i="1"/>
  <c r="O68" i="1"/>
  <c r="Q67" i="1"/>
  <c r="O170" i="1"/>
  <c r="Q169" i="1"/>
  <c r="O27" i="1"/>
  <c r="Q26" i="1"/>
  <c r="Q531" i="1"/>
  <c r="O118" i="1"/>
  <c r="Q118" i="1" s="1"/>
  <c r="Q894" i="1" l="1"/>
  <c r="Q915" i="1"/>
  <c r="Q811" i="1"/>
  <c r="Q637" i="1"/>
  <c r="O171" i="1"/>
  <c r="Q170" i="1"/>
  <c r="O28" i="1"/>
  <c r="Q27" i="1"/>
  <c r="O69" i="1"/>
  <c r="Q68" i="1"/>
  <c r="Q532" i="1"/>
  <c r="O119" i="1"/>
  <c r="Q119" i="1" s="1"/>
  <c r="Q916" i="1" l="1"/>
  <c r="Q812" i="1"/>
  <c r="Q895" i="1"/>
  <c r="Q638" i="1"/>
  <c r="O29" i="1"/>
  <c r="Q28" i="1"/>
  <c r="O70" i="1"/>
  <c r="Q69" i="1"/>
  <c r="O172" i="1"/>
  <c r="Q171" i="1"/>
  <c r="Q533" i="1"/>
  <c r="O120" i="1"/>
  <c r="Q120" i="1" s="1"/>
  <c r="Q813" i="1" l="1"/>
  <c r="Q917" i="1"/>
  <c r="Q896" i="1"/>
  <c r="Q639" i="1"/>
  <c r="O71" i="1"/>
  <c r="Q70" i="1"/>
  <c r="O173" i="1"/>
  <c r="Q172" i="1"/>
  <c r="O30" i="1"/>
  <c r="Q29" i="1"/>
  <c r="O121" i="1"/>
  <c r="Q121" i="1" s="1"/>
  <c r="Q918" i="1" l="1"/>
  <c r="Q897" i="1"/>
  <c r="Q814" i="1"/>
  <c r="Q640" i="1"/>
  <c r="Q534" i="1"/>
  <c r="O174" i="1"/>
  <c r="Q173" i="1"/>
  <c r="O31" i="1"/>
  <c r="Q30" i="1"/>
  <c r="O72" i="1"/>
  <c r="Q71" i="1"/>
  <c r="Q537" i="1"/>
  <c r="O122" i="1"/>
  <c r="Q122" i="1" s="1"/>
  <c r="Q898" i="1" l="1"/>
  <c r="Q919" i="1"/>
  <c r="Q815" i="1"/>
  <c r="Q641" i="1"/>
  <c r="Q535" i="1"/>
  <c r="Q536" i="1"/>
  <c r="O32" i="1"/>
  <c r="Q31" i="1"/>
  <c r="O73" i="1"/>
  <c r="Q72" i="1"/>
  <c r="O175" i="1"/>
  <c r="Q174" i="1"/>
  <c r="Q538" i="1"/>
  <c r="O123" i="1"/>
  <c r="Q123" i="1" s="1"/>
  <c r="Q920" i="1" l="1"/>
  <c r="Q899" i="1"/>
  <c r="Q816" i="1"/>
  <c r="Q642" i="1"/>
  <c r="O74" i="1"/>
  <c r="Q73" i="1"/>
  <c r="O176" i="1"/>
  <c r="Q175" i="1"/>
  <c r="O33" i="1"/>
  <c r="Q32" i="1"/>
  <c r="O124" i="1"/>
  <c r="Q124" i="1" s="1"/>
  <c r="Q900" i="1" l="1"/>
  <c r="Q921" i="1"/>
  <c r="Q817" i="1"/>
  <c r="Q643" i="1"/>
  <c r="Q539" i="1"/>
  <c r="O177" i="1"/>
  <c r="Q176" i="1"/>
  <c r="O34" i="1"/>
  <c r="Q33" i="1"/>
  <c r="O75" i="1"/>
  <c r="Q74" i="1"/>
  <c r="Q540" i="1"/>
  <c r="O125" i="1"/>
  <c r="Q125" i="1" s="1"/>
  <c r="Q922" i="1" l="1"/>
  <c r="Q901" i="1"/>
  <c r="Q818" i="1"/>
  <c r="Q644" i="1"/>
  <c r="O35" i="1"/>
  <c r="Q34" i="1"/>
  <c r="O76" i="1"/>
  <c r="Q76" i="1" s="1"/>
  <c r="Q75" i="1"/>
  <c r="O178" i="1"/>
  <c r="Q177" i="1"/>
  <c r="Q541" i="1"/>
  <c r="O126" i="1"/>
  <c r="Q126" i="1" s="1"/>
  <c r="Q902" i="1" l="1"/>
  <c r="Q923" i="1"/>
  <c r="Q819" i="1"/>
  <c r="Q645" i="1"/>
  <c r="O179" i="1"/>
  <c r="Q178" i="1"/>
  <c r="O36" i="1"/>
  <c r="Q35" i="1"/>
  <c r="Q542" i="1"/>
  <c r="O127" i="1"/>
  <c r="Q127" i="1" s="1"/>
  <c r="Q924" i="1" l="1"/>
  <c r="Q820" i="1"/>
  <c r="Q903" i="1"/>
  <c r="Q646" i="1"/>
  <c r="O37" i="1"/>
  <c r="Q36" i="1"/>
  <c r="O180" i="1"/>
  <c r="Q179" i="1"/>
  <c r="Q543" i="1"/>
  <c r="Q821" i="1" l="1"/>
  <c r="Q904" i="1"/>
  <c r="Q925" i="1"/>
  <c r="Q647" i="1"/>
  <c r="O181" i="1"/>
  <c r="Q180" i="1"/>
  <c r="O38" i="1"/>
  <c r="Q37" i="1"/>
  <c r="Q544" i="1"/>
  <c r="Q905" i="1" l="1"/>
  <c r="Q926" i="1"/>
  <c r="Q927" i="1"/>
  <c r="Q822" i="1"/>
  <c r="Q648" i="1"/>
  <c r="O39" i="1"/>
  <c r="Q38" i="1"/>
  <c r="O182" i="1"/>
  <c r="Q181" i="1"/>
  <c r="Q545" i="1"/>
  <c r="Q906" i="1" l="1"/>
  <c r="Q823" i="1"/>
  <c r="Q649" i="1"/>
  <c r="O183" i="1"/>
  <c r="Q182" i="1"/>
  <c r="O40" i="1"/>
  <c r="Q39" i="1"/>
  <c r="Q546" i="1"/>
  <c r="Q824" i="1" l="1"/>
  <c r="Q907" i="1"/>
  <c r="Q650" i="1"/>
  <c r="O41" i="1"/>
  <c r="Q40" i="1"/>
  <c r="O184" i="1"/>
  <c r="Q183" i="1"/>
  <c r="Q908" i="1" l="1"/>
  <c r="Q825" i="1"/>
  <c r="Q651" i="1"/>
  <c r="Q547" i="1"/>
  <c r="O185" i="1"/>
  <c r="Q184" i="1"/>
  <c r="O42" i="1"/>
  <c r="Q41" i="1"/>
  <c r="Q552" i="1"/>
  <c r="Q826" i="1" l="1"/>
  <c r="Q909" i="1"/>
  <c r="Q910" i="1"/>
  <c r="Q652" i="1"/>
  <c r="Q548" i="1"/>
  <c r="O43" i="1"/>
  <c r="Q42" i="1"/>
  <c r="O186" i="1"/>
  <c r="Q185" i="1"/>
  <c r="Q553" i="1"/>
  <c r="Q827" i="1" l="1"/>
  <c r="Q653" i="1"/>
  <c r="Q549" i="1"/>
  <c r="O187" i="1"/>
  <c r="Q186" i="1"/>
  <c r="O44" i="1"/>
  <c r="Q43" i="1"/>
  <c r="Q554" i="1"/>
  <c r="Q828" i="1" l="1"/>
  <c r="Q654" i="1"/>
  <c r="Q550" i="1"/>
  <c r="Q551" i="1"/>
  <c r="O45" i="1"/>
  <c r="Q44" i="1"/>
  <c r="O188" i="1"/>
  <c r="Q187" i="1"/>
  <c r="Q555" i="1"/>
  <c r="Q829" i="1" l="1"/>
  <c r="Q655" i="1"/>
  <c r="O189" i="1"/>
  <c r="Q188" i="1"/>
  <c r="O46" i="1"/>
  <c r="Q45" i="1"/>
  <c r="Q556" i="1"/>
  <c r="Q830" i="1" l="1"/>
  <c r="Q656" i="1"/>
  <c r="O47" i="1"/>
  <c r="Q46" i="1"/>
  <c r="O190" i="1"/>
  <c r="Q189" i="1"/>
  <c r="Q557" i="1"/>
  <c r="Q831" i="1" l="1"/>
  <c r="Q657" i="1"/>
  <c r="O191" i="1"/>
  <c r="Q190" i="1"/>
  <c r="O48" i="1"/>
  <c r="Q47" i="1"/>
  <c r="Q832" i="1" l="1"/>
  <c r="Q658" i="1"/>
  <c r="Q558" i="1"/>
  <c r="O49" i="1"/>
  <c r="Q49" i="1" s="1"/>
  <c r="Q48" i="1"/>
  <c r="O192" i="1"/>
  <c r="Q191" i="1"/>
  <c r="Q563" i="1"/>
  <c r="Q833" i="1" l="1"/>
  <c r="Q659" i="1"/>
  <c r="Q559" i="1"/>
  <c r="O193" i="1"/>
  <c r="Q192" i="1"/>
  <c r="Q564" i="1"/>
  <c r="Q834" i="1" l="1"/>
  <c r="Q660" i="1"/>
  <c r="Q560" i="1"/>
  <c r="O194" i="1"/>
  <c r="Q193" i="1"/>
  <c r="Q565" i="1"/>
  <c r="Q835" i="1" l="1"/>
  <c r="Q661" i="1"/>
  <c r="Q561" i="1"/>
  <c r="Q562" i="1"/>
  <c r="O195" i="1"/>
  <c r="Q194" i="1"/>
  <c r="Q566" i="1"/>
  <c r="Q836" i="1" l="1"/>
  <c r="Q662" i="1"/>
  <c r="O196" i="1"/>
  <c r="Q195" i="1"/>
  <c r="Q567" i="1"/>
  <c r="Q837" i="1" l="1"/>
  <c r="Q663" i="1"/>
  <c r="O197" i="1"/>
  <c r="Q196" i="1"/>
  <c r="Q568" i="1"/>
  <c r="Q838" i="1" l="1"/>
  <c r="Q664" i="1"/>
  <c r="O198" i="1"/>
  <c r="Q197" i="1"/>
  <c r="Q839" i="1" l="1"/>
  <c r="Q665" i="1"/>
  <c r="Q569" i="1"/>
  <c r="O199" i="1"/>
  <c r="Q198" i="1"/>
  <c r="Q574" i="1"/>
  <c r="Q840" i="1" l="1"/>
  <c r="Q666" i="1"/>
  <c r="Q570" i="1"/>
  <c r="O200" i="1"/>
  <c r="Q199" i="1"/>
  <c r="Q575" i="1"/>
  <c r="Q841" i="1" l="1"/>
  <c r="Q667" i="1"/>
  <c r="Q571" i="1"/>
  <c r="O201" i="1"/>
  <c r="Q200" i="1"/>
  <c r="Q576" i="1"/>
  <c r="Q842" i="1" l="1"/>
  <c r="Q668" i="1"/>
  <c r="Q572" i="1"/>
  <c r="Q573" i="1"/>
  <c r="O202" i="1"/>
  <c r="Q201" i="1"/>
  <c r="Q577" i="1"/>
  <c r="Q843" i="1" l="1"/>
  <c r="Q669" i="1"/>
  <c r="O203" i="1"/>
  <c r="Q202" i="1"/>
  <c r="Q578" i="1"/>
  <c r="Q844" i="1" l="1"/>
  <c r="Q670" i="1"/>
  <c r="O204" i="1"/>
  <c r="Q203" i="1"/>
  <c r="Q579" i="1"/>
  <c r="Q845" i="1" l="1"/>
  <c r="Q671" i="1"/>
  <c r="O205" i="1"/>
  <c r="Q204" i="1"/>
  <c r="Q846" i="1" l="1"/>
  <c r="Q853" i="1"/>
  <c r="Q672" i="1"/>
  <c r="Q580" i="1"/>
  <c r="O206" i="1"/>
  <c r="Q205" i="1"/>
  <c r="Q585" i="1"/>
  <c r="Q847" i="1" l="1"/>
  <c r="Q854" i="1"/>
  <c r="Q673" i="1"/>
  <c r="Q581" i="1"/>
  <c r="Q582" i="1"/>
  <c r="O207" i="1"/>
  <c r="Q206" i="1"/>
  <c r="Q586" i="1"/>
  <c r="Q848" i="1" l="1"/>
  <c r="Q855" i="1"/>
  <c r="Q674" i="1"/>
  <c r="O208" i="1"/>
  <c r="Q207" i="1"/>
  <c r="Q587" i="1"/>
  <c r="M216" i="1"/>
  <c r="O216" i="1" s="1"/>
  <c r="M448" i="1"/>
  <c r="M334" i="1"/>
  <c r="M269" i="1"/>
  <c r="M433" i="1"/>
  <c r="M431" i="1"/>
  <c r="M432" i="1"/>
  <c r="M447" i="1"/>
  <c r="M400" i="1"/>
  <c r="M325" i="1"/>
  <c r="M424" i="1"/>
  <c r="M443" i="1"/>
  <c r="M411" i="1"/>
  <c r="M470" i="1"/>
  <c r="M446" i="1"/>
  <c r="M245" i="1"/>
  <c r="M444" i="1"/>
  <c r="M262" i="1"/>
  <c r="M408" i="1"/>
  <c r="M471" i="1"/>
  <c r="M390" i="1"/>
  <c r="M389" i="1"/>
  <c r="M295" i="1"/>
  <c r="M300" i="1"/>
  <c r="M404" i="1"/>
  <c r="M284" i="1"/>
  <c r="M388" i="1"/>
  <c r="M283" i="1"/>
  <c r="M336" i="1"/>
  <c r="M430" i="1"/>
  <c r="M429" i="1"/>
  <c r="M426" i="1"/>
  <c r="M427" i="1"/>
  <c r="M428" i="1"/>
  <c r="M414" i="1"/>
  <c r="M421" i="1"/>
  <c r="M422" i="1"/>
  <c r="M423" i="1"/>
  <c r="M425" i="1"/>
  <c r="M420" i="1"/>
  <c r="M381" i="1"/>
  <c r="M387" i="1"/>
  <c r="M442" i="1"/>
  <c r="M472" i="1"/>
  <c r="M473" i="1"/>
  <c r="M474" i="1"/>
  <c r="M475" i="1"/>
  <c r="M476" i="1"/>
  <c r="M477" i="1"/>
  <c r="M478" i="1"/>
  <c r="M479" i="1"/>
  <c r="M394" i="1"/>
  <c r="M378" i="1"/>
  <c r="M379" i="1"/>
  <c r="M380" i="1"/>
  <c r="M382" i="1"/>
  <c r="M383" i="1"/>
  <c r="M384" i="1"/>
  <c r="M385" i="1"/>
  <c r="M386" i="1"/>
  <c r="M460" i="1"/>
  <c r="M461" i="1"/>
  <c r="M462" i="1"/>
  <c r="M463" i="1"/>
  <c r="M464" i="1"/>
  <c r="M465" i="1"/>
  <c r="M466" i="1"/>
  <c r="M467" i="1"/>
  <c r="M468" i="1"/>
  <c r="M469" i="1"/>
  <c r="M341" i="1"/>
  <c r="M392" i="1"/>
  <c r="O392" i="1" s="1"/>
  <c r="M393" i="1"/>
  <c r="M395" i="1"/>
  <c r="M396" i="1"/>
  <c r="M397" i="1"/>
  <c r="M398" i="1"/>
  <c r="M399" i="1"/>
  <c r="M401" i="1"/>
  <c r="M402" i="1"/>
  <c r="M403" i="1"/>
  <c r="M405" i="1"/>
  <c r="M406" i="1"/>
  <c r="M407" i="1"/>
  <c r="M409" i="1"/>
  <c r="M410" i="1"/>
  <c r="M412" i="1"/>
  <c r="M413" i="1"/>
  <c r="M415" i="1"/>
  <c r="M416" i="1"/>
  <c r="M417" i="1"/>
  <c r="M418" i="1"/>
  <c r="M419" i="1"/>
  <c r="M455" i="1"/>
  <c r="M456" i="1"/>
  <c r="M457" i="1"/>
  <c r="M458" i="1"/>
  <c r="M459" i="1"/>
  <c r="M441" i="1"/>
  <c r="M445" i="1"/>
  <c r="M449" i="1"/>
  <c r="M450" i="1"/>
  <c r="M451" i="1"/>
  <c r="M452" i="1"/>
  <c r="M453" i="1"/>
  <c r="M454" i="1"/>
  <c r="M311" i="1"/>
  <c r="M331" i="1"/>
  <c r="M332" i="1"/>
  <c r="M333" i="1"/>
  <c r="M335" i="1"/>
  <c r="M337" i="1"/>
  <c r="M338" i="1"/>
  <c r="M339" i="1"/>
  <c r="M340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265" i="1"/>
  <c r="M266" i="1"/>
  <c r="M267" i="1"/>
  <c r="M268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5" i="1"/>
  <c r="M286" i="1"/>
  <c r="M287" i="1"/>
  <c r="M288" i="1"/>
  <c r="M289" i="1"/>
  <c r="M290" i="1"/>
  <c r="M291" i="1"/>
  <c r="M292" i="1"/>
  <c r="M293" i="1"/>
  <c r="M294" i="1"/>
  <c r="M296" i="1"/>
  <c r="M297" i="1"/>
  <c r="M298" i="1"/>
  <c r="M299" i="1"/>
  <c r="M301" i="1"/>
  <c r="M302" i="1"/>
  <c r="M303" i="1"/>
  <c r="M304" i="1"/>
  <c r="M305" i="1"/>
  <c r="M306" i="1"/>
  <c r="M307" i="1"/>
  <c r="M308" i="1"/>
  <c r="M309" i="1"/>
  <c r="M310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6" i="1"/>
  <c r="M327" i="1"/>
  <c r="M328" i="1"/>
  <c r="M329" i="1"/>
  <c r="M330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3" i="1"/>
  <c r="M264" i="1"/>
  <c r="Q849" i="1" l="1"/>
  <c r="Q856" i="1"/>
  <c r="Q675" i="1"/>
  <c r="Q435" i="1"/>
  <c r="O393" i="1"/>
  <c r="Q392" i="1"/>
  <c r="O217" i="1"/>
  <c r="Q216" i="1"/>
  <c r="O209" i="1"/>
  <c r="Q208" i="1"/>
  <c r="O441" i="1"/>
  <c r="Q441" i="1" s="1"/>
  <c r="Q588" i="1"/>
  <c r="Q850" i="1" l="1"/>
  <c r="Q857" i="1"/>
  <c r="Q676" i="1"/>
  <c r="O394" i="1"/>
  <c r="Q393" i="1"/>
  <c r="Q437" i="1"/>
  <c r="Q436" i="1"/>
  <c r="O210" i="1"/>
  <c r="Q209" i="1"/>
  <c r="O218" i="1"/>
  <c r="Q217" i="1"/>
  <c r="O442" i="1"/>
  <c r="Q442" i="1" s="1"/>
  <c r="Q589" i="1"/>
  <c r="Q852" i="1" l="1"/>
  <c r="Q851" i="1"/>
  <c r="Q858" i="1"/>
  <c r="Q677" i="1"/>
  <c r="O395" i="1"/>
  <c r="Q394" i="1"/>
  <c r="O219" i="1"/>
  <c r="Q218" i="1"/>
  <c r="O211" i="1"/>
  <c r="Q210" i="1"/>
  <c r="O443" i="1"/>
  <c r="Q443" i="1" s="1"/>
  <c r="Q590" i="1"/>
  <c r="Q859" i="1" l="1"/>
  <c r="Q678" i="1"/>
  <c r="O396" i="1"/>
  <c r="Q395" i="1"/>
  <c r="O212" i="1"/>
  <c r="Q211" i="1"/>
  <c r="O220" i="1"/>
  <c r="Q219" i="1"/>
  <c r="O444" i="1"/>
  <c r="Q444" i="1" s="1"/>
  <c r="Q860" i="1" l="1"/>
  <c r="Q679" i="1"/>
  <c r="O397" i="1"/>
  <c r="Q396" i="1"/>
  <c r="O221" i="1"/>
  <c r="Q220" i="1"/>
  <c r="O213" i="1"/>
  <c r="Q212" i="1"/>
  <c r="O445" i="1"/>
  <c r="Q445" i="1" s="1"/>
  <c r="Q861" i="1" l="1"/>
  <c r="Q680" i="1"/>
  <c r="O398" i="1"/>
  <c r="Q397" i="1"/>
  <c r="O214" i="1"/>
  <c r="Q214" i="1" s="1"/>
  <c r="Q213" i="1"/>
  <c r="O222" i="1"/>
  <c r="Q221" i="1"/>
  <c r="O446" i="1"/>
  <c r="Q446" i="1" s="1"/>
  <c r="Q862" i="1" l="1"/>
  <c r="Q681" i="1"/>
  <c r="O399" i="1"/>
  <c r="Q398" i="1"/>
  <c r="Q222" i="1"/>
  <c r="O223" i="1"/>
  <c r="O447" i="1"/>
  <c r="Q447" i="1" s="1"/>
  <c r="Q863" i="1" l="1"/>
  <c r="Q682" i="1"/>
  <c r="O400" i="1"/>
  <c r="Q399" i="1"/>
  <c r="O224" i="1"/>
  <c r="Q223" i="1"/>
  <c r="O448" i="1"/>
  <c r="Q448" i="1" s="1"/>
  <c r="Q864" i="1" l="1"/>
  <c r="Q683" i="1"/>
  <c r="O401" i="1"/>
  <c r="Q400" i="1"/>
  <c r="O225" i="1"/>
  <c r="Q224" i="1"/>
  <c r="O449" i="1"/>
  <c r="Q449" i="1" s="1"/>
  <c r="Q865" i="1" l="1"/>
  <c r="Q684" i="1"/>
  <c r="O402" i="1"/>
  <c r="Q401" i="1"/>
  <c r="O226" i="1"/>
  <c r="Q225" i="1"/>
  <c r="O450" i="1"/>
  <c r="Q450" i="1" l="1"/>
  <c r="O451" i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Q866" i="1"/>
  <c r="Q685" i="1"/>
  <c r="O403" i="1"/>
  <c r="Q402" i="1"/>
  <c r="O227" i="1"/>
  <c r="Q226" i="1"/>
  <c r="Q867" i="1" l="1"/>
  <c r="Q686" i="1"/>
  <c r="O404" i="1"/>
  <c r="Q403" i="1"/>
  <c r="O228" i="1"/>
  <c r="Q227" i="1"/>
  <c r="Q451" i="1"/>
  <c r="Q868" i="1" l="1"/>
  <c r="Q687" i="1"/>
  <c r="O405" i="1"/>
  <c r="Q404" i="1"/>
  <c r="O229" i="1"/>
  <c r="Q228" i="1"/>
  <c r="Q869" i="1" l="1"/>
  <c r="Q688" i="1"/>
  <c r="O406" i="1"/>
  <c r="Q405" i="1"/>
  <c r="O230" i="1"/>
  <c r="Q229" i="1"/>
  <c r="Q870" i="1" l="1"/>
  <c r="Q871" i="1"/>
  <c r="Q689" i="1"/>
  <c r="O407" i="1"/>
  <c r="Q406" i="1"/>
  <c r="O231" i="1"/>
  <c r="Q230" i="1"/>
  <c r="Q690" i="1" l="1"/>
  <c r="O408" i="1"/>
  <c r="Q407" i="1"/>
  <c r="O232" i="1"/>
  <c r="Q231" i="1"/>
  <c r="Q452" i="1"/>
  <c r="Q691" i="1" l="1"/>
  <c r="O409" i="1"/>
  <c r="Q408" i="1"/>
  <c r="O233" i="1"/>
  <c r="Q232" i="1"/>
  <c r="Q692" i="1" l="1"/>
  <c r="O410" i="1"/>
  <c r="Q409" i="1"/>
  <c r="O234" i="1"/>
  <c r="Q233" i="1"/>
  <c r="Q453" i="1"/>
  <c r="Q693" i="1" l="1"/>
  <c r="O411" i="1"/>
  <c r="Q410" i="1"/>
  <c r="O235" i="1"/>
  <c r="Q234" i="1"/>
  <c r="Q694" i="1" l="1"/>
  <c r="O412" i="1"/>
  <c r="Q411" i="1"/>
  <c r="O236" i="1"/>
  <c r="Q235" i="1"/>
  <c r="Q454" i="1"/>
  <c r="Q695" i="1" l="1"/>
  <c r="O413" i="1"/>
  <c r="Q412" i="1"/>
  <c r="O237" i="1"/>
  <c r="Q236" i="1"/>
  <c r="Q696" i="1" l="1"/>
  <c r="O414" i="1"/>
  <c r="Q413" i="1"/>
  <c r="O238" i="1"/>
  <c r="Q237" i="1"/>
  <c r="Q697" i="1" l="1"/>
  <c r="O415" i="1"/>
  <c r="Q414" i="1"/>
  <c r="O239" i="1"/>
  <c r="Q238" i="1"/>
  <c r="Q455" i="1"/>
  <c r="Q698" i="1" l="1"/>
  <c r="O416" i="1"/>
  <c r="Q415" i="1"/>
  <c r="O240" i="1"/>
  <c r="Q239" i="1"/>
  <c r="Q456" i="1"/>
  <c r="Q699" i="1" l="1"/>
  <c r="O417" i="1"/>
  <c r="Q416" i="1"/>
  <c r="O241" i="1"/>
  <c r="Q240" i="1"/>
  <c r="Q700" i="1" l="1"/>
  <c r="O418" i="1"/>
  <c r="Q417" i="1"/>
  <c r="O242" i="1"/>
  <c r="Q241" i="1"/>
  <c r="Q457" i="1"/>
  <c r="Q701" i="1" l="1"/>
  <c r="O419" i="1"/>
  <c r="Q418" i="1"/>
  <c r="O243" i="1"/>
  <c r="Q242" i="1"/>
  <c r="Q702" i="1" l="1"/>
  <c r="O420" i="1"/>
  <c r="Q419" i="1"/>
  <c r="O244" i="1"/>
  <c r="Q243" i="1"/>
  <c r="Q703" i="1" l="1"/>
  <c r="O421" i="1"/>
  <c r="Q420" i="1"/>
  <c r="O245" i="1"/>
  <c r="Q244" i="1"/>
  <c r="Q704" i="1" l="1"/>
  <c r="O422" i="1"/>
  <c r="Q421" i="1"/>
  <c r="O246" i="1"/>
  <c r="Q245" i="1"/>
  <c r="Q458" i="1"/>
  <c r="Q705" i="1" l="1"/>
  <c r="O423" i="1"/>
  <c r="Q422" i="1"/>
  <c r="O247" i="1"/>
  <c r="Q246" i="1"/>
  <c r="Q459" i="1"/>
  <c r="Q706" i="1" l="1"/>
  <c r="O424" i="1"/>
  <c r="Q423" i="1"/>
  <c r="O248" i="1"/>
  <c r="Q247" i="1"/>
  <c r="Q460" i="1"/>
  <c r="Q707" i="1" l="1"/>
  <c r="O425" i="1"/>
  <c r="Q424" i="1"/>
  <c r="O249" i="1"/>
  <c r="Q248" i="1"/>
  <c r="Q461" i="1"/>
  <c r="Q708" i="1" l="1"/>
  <c r="O426" i="1"/>
  <c r="Q425" i="1"/>
  <c r="O250" i="1"/>
  <c r="Q249" i="1"/>
  <c r="Q462" i="1"/>
  <c r="Q709" i="1" l="1"/>
  <c r="O427" i="1"/>
  <c r="Q426" i="1"/>
  <c r="O251" i="1"/>
  <c r="Q250" i="1"/>
  <c r="Q463" i="1"/>
  <c r="Q710" i="1" l="1"/>
  <c r="O428" i="1"/>
  <c r="Q427" i="1"/>
  <c r="O252" i="1"/>
  <c r="Q251" i="1"/>
  <c r="Q464" i="1"/>
  <c r="Q711" i="1" l="1"/>
  <c r="O429" i="1"/>
  <c r="Q428" i="1"/>
  <c r="O253" i="1"/>
  <c r="Q252" i="1"/>
  <c r="Q465" i="1"/>
  <c r="Q712" i="1" l="1"/>
  <c r="O430" i="1"/>
  <c r="Q429" i="1"/>
  <c r="O254" i="1"/>
  <c r="Q253" i="1"/>
  <c r="Q466" i="1"/>
  <c r="Q713" i="1" l="1"/>
  <c r="O431" i="1"/>
  <c r="Q430" i="1"/>
  <c r="O255" i="1"/>
  <c r="Q254" i="1"/>
  <c r="Q467" i="1"/>
  <c r="Q714" i="1" l="1"/>
  <c r="O432" i="1"/>
  <c r="O433" i="1" s="1"/>
  <c r="Q431" i="1"/>
  <c r="O256" i="1"/>
  <c r="Q255" i="1"/>
  <c r="Q468" i="1"/>
  <c r="Q715" i="1" l="1"/>
  <c r="Q433" i="1"/>
  <c r="Q432" i="1"/>
  <c r="O257" i="1"/>
  <c r="Q256" i="1"/>
  <c r="Q469" i="1"/>
  <c r="Q716" i="1" l="1"/>
  <c r="O258" i="1"/>
  <c r="Q257" i="1"/>
  <c r="Q470" i="1"/>
  <c r="Q717" i="1" l="1"/>
  <c r="O259" i="1"/>
  <c r="Q258" i="1"/>
  <c r="Q471" i="1"/>
  <c r="Q718" i="1" l="1"/>
  <c r="O260" i="1"/>
  <c r="Q259" i="1"/>
  <c r="Q472" i="1"/>
  <c r="Q719" i="1" l="1"/>
  <c r="O261" i="1"/>
  <c r="Q260" i="1"/>
  <c r="Q473" i="1"/>
  <c r="Q720" i="1" l="1"/>
  <c r="O262" i="1"/>
  <c r="Q261" i="1"/>
  <c r="Q474" i="1"/>
  <c r="Q721" i="1" l="1"/>
  <c r="O263" i="1"/>
  <c r="Q262" i="1"/>
  <c r="Q475" i="1"/>
  <c r="Q722" i="1" l="1"/>
  <c r="O264" i="1"/>
  <c r="Q263" i="1"/>
  <c r="Q476" i="1"/>
  <c r="Q723" i="1" l="1"/>
  <c r="O265" i="1"/>
  <c r="Q264" i="1"/>
  <c r="Q477" i="1"/>
  <c r="Q724" i="1" l="1"/>
  <c r="O266" i="1"/>
  <c r="Q265" i="1"/>
  <c r="Q478" i="1"/>
  <c r="Q725" i="1" l="1"/>
  <c r="O267" i="1"/>
  <c r="Q266" i="1"/>
  <c r="Q479" i="1"/>
  <c r="Q726" i="1" l="1"/>
  <c r="O268" i="1"/>
  <c r="Q267" i="1"/>
  <c r="Q727" i="1" l="1"/>
  <c r="O269" i="1"/>
  <c r="Q268" i="1"/>
  <c r="Q728" i="1" l="1"/>
  <c r="O270" i="1"/>
  <c r="Q269" i="1"/>
  <c r="Q729" i="1" l="1"/>
  <c r="O271" i="1"/>
  <c r="Q270" i="1"/>
  <c r="Q730" i="1" l="1"/>
  <c r="O272" i="1"/>
  <c r="Q271" i="1"/>
  <c r="Q731" i="1" l="1"/>
  <c r="O273" i="1"/>
  <c r="Q272" i="1"/>
  <c r="Q732" i="1" l="1"/>
  <c r="O274" i="1"/>
  <c r="Q273" i="1"/>
  <c r="Q733" i="1" l="1"/>
  <c r="O275" i="1"/>
  <c r="Q274" i="1"/>
  <c r="Q734" i="1" l="1"/>
  <c r="O276" i="1"/>
  <c r="Q275" i="1"/>
  <c r="Q735" i="1" l="1"/>
  <c r="O277" i="1"/>
  <c r="Q276" i="1"/>
  <c r="Q736" i="1" l="1"/>
  <c r="O278" i="1"/>
  <c r="Q277" i="1"/>
  <c r="Q737" i="1" l="1"/>
  <c r="O279" i="1"/>
  <c r="Q278" i="1"/>
  <c r="Q738" i="1" l="1"/>
  <c r="O280" i="1"/>
  <c r="Q279" i="1"/>
  <c r="Q739" i="1" l="1"/>
  <c r="O281" i="1"/>
  <c r="Q280" i="1"/>
  <c r="Q740" i="1" l="1"/>
  <c r="O282" i="1"/>
  <c r="Q281" i="1"/>
  <c r="Q741" i="1" l="1"/>
  <c r="O283" i="1"/>
  <c r="Q282" i="1"/>
  <c r="Q742" i="1" l="1"/>
  <c r="O284" i="1"/>
  <c r="Q283" i="1"/>
  <c r="Q743" i="1" l="1"/>
  <c r="O285" i="1"/>
  <c r="Q284" i="1"/>
  <c r="Q744" i="1" l="1"/>
  <c r="O286" i="1"/>
  <c r="Q285" i="1"/>
  <c r="Q745" i="1" l="1"/>
  <c r="O287" i="1"/>
  <c r="Q286" i="1"/>
  <c r="Q746" i="1" l="1"/>
  <c r="O288" i="1"/>
  <c r="Q287" i="1"/>
  <c r="Q747" i="1" l="1"/>
  <c r="O289" i="1"/>
  <c r="Q288" i="1"/>
  <c r="Q748" i="1" l="1"/>
  <c r="O290" i="1"/>
  <c r="Q289" i="1"/>
  <c r="Q749" i="1" l="1"/>
  <c r="O291" i="1"/>
  <c r="Q290" i="1"/>
  <c r="Q750" i="1" l="1"/>
  <c r="O292" i="1"/>
  <c r="Q291" i="1"/>
  <c r="Q751" i="1" l="1"/>
  <c r="O293" i="1"/>
  <c r="Q292" i="1"/>
  <c r="Q752" i="1" l="1"/>
  <c r="O294" i="1"/>
  <c r="Q293" i="1"/>
  <c r="Q753" i="1" l="1"/>
  <c r="O295" i="1"/>
  <c r="Q294" i="1"/>
  <c r="Q754" i="1" l="1"/>
  <c r="O296" i="1"/>
  <c r="Q295" i="1"/>
  <c r="Q755" i="1" l="1"/>
  <c r="O297" i="1"/>
  <c r="Q296" i="1"/>
  <c r="Q756" i="1" l="1"/>
  <c r="O298" i="1"/>
  <c r="Q297" i="1"/>
  <c r="Q757" i="1" l="1"/>
  <c r="O299" i="1"/>
  <c r="Q298" i="1"/>
  <c r="Q758" i="1" l="1"/>
  <c r="O300" i="1"/>
  <c r="Q299" i="1"/>
  <c r="Q759" i="1" l="1"/>
  <c r="O301" i="1"/>
  <c r="Q300" i="1"/>
  <c r="Q760" i="1" l="1"/>
  <c r="O302" i="1"/>
  <c r="Q301" i="1"/>
  <c r="Q761" i="1" l="1"/>
  <c r="O303" i="1"/>
  <c r="Q302" i="1"/>
  <c r="Q762" i="1" l="1"/>
  <c r="O304" i="1"/>
  <c r="Q303" i="1"/>
  <c r="Q763" i="1" l="1"/>
  <c r="O305" i="1"/>
  <c r="Q304" i="1"/>
  <c r="Q764" i="1" l="1"/>
  <c r="O306" i="1"/>
  <c r="Q305" i="1"/>
  <c r="Q765" i="1" l="1"/>
  <c r="O307" i="1"/>
  <c r="Q306" i="1"/>
  <c r="Q766" i="1" l="1"/>
  <c r="O308" i="1"/>
  <c r="Q307" i="1"/>
  <c r="Q767" i="1" l="1"/>
  <c r="O309" i="1"/>
  <c r="Q308" i="1"/>
  <c r="Q768" i="1" l="1"/>
  <c r="O310" i="1"/>
  <c r="Q309" i="1"/>
  <c r="Q769" i="1" l="1"/>
  <c r="O311" i="1"/>
  <c r="Q310" i="1"/>
  <c r="Q770" i="1" l="1"/>
  <c r="O312" i="1"/>
  <c r="Q311" i="1"/>
  <c r="Q771" i="1" l="1"/>
  <c r="O313" i="1"/>
  <c r="Q312" i="1"/>
  <c r="Q772" i="1" l="1"/>
  <c r="O314" i="1"/>
  <c r="Q313" i="1"/>
  <c r="Q773" i="1" l="1"/>
  <c r="O315" i="1"/>
  <c r="Q314" i="1"/>
  <c r="Q774" i="1" l="1"/>
  <c r="O316" i="1"/>
  <c r="Q315" i="1"/>
  <c r="Q775" i="1" l="1"/>
  <c r="O317" i="1"/>
  <c r="Q316" i="1"/>
  <c r="Q776" i="1" l="1"/>
  <c r="O318" i="1"/>
  <c r="Q317" i="1"/>
  <c r="Q777" i="1" l="1"/>
  <c r="O319" i="1"/>
  <c r="Q318" i="1"/>
  <c r="Q778" i="1" l="1"/>
  <c r="O320" i="1"/>
  <c r="Q319" i="1"/>
  <c r="Q779" i="1" l="1"/>
  <c r="O321" i="1"/>
  <c r="Q320" i="1"/>
  <c r="Q780" i="1" l="1"/>
  <c r="O322" i="1"/>
  <c r="Q321" i="1"/>
  <c r="Q781" i="1" l="1"/>
  <c r="O323" i="1"/>
  <c r="Q322" i="1"/>
  <c r="Q782" i="1" l="1"/>
  <c r="O324" i="1"/>
  <c r="Q323" i="1"/>
  <c r="Q783" i="1" l="1"/>
  <c r="O325" i="1"/>
  <c r="Q324" i="1"/>
  <c r="Q784" i="1" l="1"/>
  <c r="O326" i="1"/>
  <c r="Q325" i="1"/>
  <c r="Q785" i="1" l="1"/>
  <c r="O327" i="1"/>
  <c r="Q326" i="1"/>
  <c r="Q786" i="1" l="1"/>
  <c r="O328" i="1"/>
  <c r="Q327" i="1"/>
  <c r="Q787" i="1" l="1"/>
  <c r="O329" i="1"/>
  <c r="Q328" i="1"/>
  <c r="Q788" i="1" l="1"/>
  <c r="O330" i="1"/>
  <c r="Q329" i="1"/>
  <c r="Q789" i="1" l="1"/>
  <c r="O331" i="1"/>
  <c r="Q330" i="1"/>
  <c r="Q790" i="1" l="1"/>
  <c r="O332" i="1"/>
  <c r="Q331" i="1"/>
  <c r="Q791" i="1" l="1"/>
  <c r="O333" i="1"/>
  <c r="Q332" i="1"/>
  <c r="Q793" i="1" l="1"/>
  <c r="Q792" i="1"/>
  <c r="O334" i="1"/>
  <c r="Q333" i="1"/>
  <c r="O335" i="1" l="1"/>
  <c r="Q334" i="1"/>
  <c r="O336" i="1" l="1"/>
  <c r="Q335" i="1"/>
  <c r="O337" i="1" l="1"/>
  <c r="Q336" i="1"/>
  <c r="O338" i="1" l="1"/>
  <c r="Q337" i="1"/>
  <c r="O339" i="1" l="1"/>
  <c r="Q338" i="1"/>
  <c r="O340" i="1" l="1"/>
  <c r="Q339" i="1"/>
  <c r="O341" i="1" l="1"/>
  <c r="Q340" i="1"/>
  <c r="O342" i="1" l="1"/>
  <c r="Q341" i="1"/>
  <c r="O343" i="1" l="1"/>
  <c r="Q342" i="1"/>
  <c r="O344" i="1" l="1"/>
  <c r="Q343" i="1"/>
  <c r="O345" i="1" l="1"/>
  <c r="Q344" i="1"/>
  <c r="O346" i="1" l="1"/>
  <c r="Q345" i="1"/>
  <c r="O347" i="1" l="1"/>
  <c r="Q346" i="1"/>
  <c r="O348" i="1" l="1"/>
  <c r="Q347" i="1"/>
  <c r="O349" i="1" l="1"/>
  <c r="Q348" i="1"/>
  <c r="O350" i="1" l="1"/>
  <c r="Q349" i="1"/>
  <c r="O351" i="1" l="1"/>
  <c r="Q350" i="1"/>
  <c r="O352" i="1" l="1"/>
  <c r="Q351" i="1"/>
  <c r="O353" i="1" l="1"/>
  <c r="Q352" i="1"/>
  <c r="O354" i="1" l="1"/>
  <c r="Q353" i="1"/>
  <c r="O355" i="1" l="1"/>
  <c r="Q354" i="1"/>
  <c r="O356" i="1" l="1"/>
  <c r="Q355" i="1"/>
  <c r="O357" i="1" l="1"/>
  <c r="Q356" i="1"/>
  <c r="O358" i="1" l="1"/>
  <c r="Q357" i="1"/>
  <c r="O359" i="1" l="1"/>
  <c r="Q358" i="1"/>
  <c r="O360" i="1" l="1"/>
  <c r="Q359" i="1"/>
  <c r="O361" i="1" l="1"/>
  <c r="Q360" i="1"/>
  <c r="O362" i="1" l="1"/>
  <c r="Q361" i="1"/>
  <c r="O363" i="1" l="1"/>
  <c r="Q362" i="1"/>
  <c r="O364" i="1" l="1"/>
  <c r="Q363" i="1"/>
  <c r="O365" i="1" l="1"/>
  <c r="Q364" i="1"/>
  <c r="O366" i="1" l="1"/>
  <c r="Q365" i="1"/>
  <c r="O367" i="1" l="1"/>
  <c r="Q366" i="1"/>
  <c r="O368" i="1" l="1"/>
  <c r="Q367" i="1"/>
  <c r="O369" i="1" l="1"/>
  <c r="Q368" i="1"/>
  <c r="O370" i="1" l="1"/>
  <c r="Q369" i="1"/>
  <c r="O371" i="1" l="1"/>
  <c r="Q370" i="1"/>
  <c r="O372" i="1" l="1"/>
  <c r="Q371" i="1"/>
  <c r="O373" i="1" l="1"/>
  <c r="Q372" i="1"/>
  <c r="O374" i="1" l="1"/>
  <c r="Q373" i="1"/>
  <c r="O375" i="1" l="1"/>
  <c r="Q374" i="1"/>
  <c r="O376" i="1" l="1"/>
  <c r="Q375" i="1"/>
  <c r="O377" i="1" l="1"/>
  <c r="Q376" i="1"/>
  <c r="O378" i="1" l="1"/>
  <c r="Q377" i="1"/>
  <c r="O379" i="1" l="1"/>
  <c r="Q378" i="1"/>
  <c r="O380" i="1" l="1"/>
  <c r="Q379" i="1"/>
  <c r="O381" i="1" l="1"/>
  <c r="Q380" i="1"/>
  <c r="O382" i="1" l="1"/>
  <c r="Q381" i="1"/>
  <c r="O383" i="1" l="1"/>
  <c r="Q382" i="1"/>
  <c r="O384" i="1" l="1"/>
  <c r="Q383" i="1"/>
  <c r="O385" i="1" l="1"/>
  <c r="Q384" i="1"/>
  <c r="O386" i="1" l="1"/>
  <c r="Q385" i="1"/>
  <c r="O387" i="1" l="1"/>
  <c r="O388" i="1" s="1"/>
  <c r="O389" i="1" s="1"/>
  <c r="O390" i="1" s="1"/>
  <c r="Q386" i="1"/>
  <c r="Q387" i="1" l="1"/>
  <c r="Q388" i="1" l="1"/>
  <c r="Q390" i="1" l="1"/>
  <c r="Q389" i="1"/>
</calcChain>
</file>

<file path=xl/sharedStrings.xml><?xml version="1.0" encoding="utf-8"?>
<sst xmlns="http://schemas.openxmlformats.org/spreadsheetml/2006/main" count="1592" uniqueCount="953">
  <si>
    <t>MATRIZ</t>
  </si>
  <si>
    <t>cod</t>
  </si>
  <si>
    <t>DENOMINACION</t>
  </si>
  <si>
    <t>ACTIVO</t>
  </si>
  <si>
    <t>ACTIVO CORRIENTE</t>
  </si>
  <si>
    <t>ACTIVO DISPONIBLE</t>
  </si>
  <si>
    <t>TESORERIA MUNICIPAL</t>
  </si>
  <si>
    <t>BANCOS PUBLICOS Y PRIVADOS</t>
  </si>
  <si>
    <t>SUB ESPECIFICA DE PUB 21</t>
  </si>
  <si>
    <t>I.M.C.P. 0601-0001-24-0014071948</t>
  </si>
  <si>
    <t>BANESCO 0134-0031-89-0311159052</t>
  </si>
  <si>
    <t>B.O.D. 0116-0032-85-0028290615</t>
  </si>
  <si>
    <t>PROVINCIAL 0108-0582-21-9010005000</t>
  </si>
  <si>
    <t>VENEZUELA 0102-0762-200000039709</t>
  </si>
  <si>
    <t>TESORO 0163-0903-65-9033005695</t>
  </si>
  <si>
    <t>FONDO COMUN 0151-0100-85-3000872449</t>
  </si>
  <si>
    <t>0102-0762-210000050322</t>
  </si>
  <si>
    <t>I.M.C.P 0601-0001-21-0014098545</t>
  </si>
  <si>
    <t>BNC 01168884</t>
  </si>
  <si>
    <t>BANCARIBE 0114015977 1590175737</t>
  </si>
  <si>
    <t>FONDO COMUN 300077149</t>
  </si>
  <si>
    <t>BANESCO CUENTA CORRIENTE 4782</t>
  </si>
  <si>
    <t>VENEZUELA 0000059226</t>
  </si>
  <si>
    <t>BANCARIBE 0114-0159-76-1590175990 CTA. GASTOS 2021</t>
  </si>
  <si>
    <t>BANCARIBE 1590176008 FISCO MUNICIPAL 2021</t>
  </si>
  <si>
    <t>I.M.C.P. 0014103444 CTA. GTOS. 2021</t>
  </si>
  <si>
    <t>IMCP 0014103451 FISCO MCPAL. 2021</t>
  </si>
  <si>
    <t>I.M.C.P. 0601-0001-28-0014103519 IMP. Y RETENC. 2021</t>
  </si>
  <si>
    <t>I.M.C.P. 0014103501 RESERVAS 2021</t>
  </si>
  <si>
    <t>I.M.C.P 0014103485 APOSTILLAMIENTO 2021</t>
  </si>
  <si>
    <t>AUXILIAR DE PUB 21</t>
  </si>
  <si>
    <t>BANCO PUBLICO</t>
  </si>
  <si>
    <t>I.M.C.P. 0014103493 FCI 2021</t>
  </si>
  <si>
    <t>I.M.C.P 0014103469 ING. EXT. 2021</t>
  </si>
  <si>
    <t>I.M.C.P 0014106082 ING. NO TRIBUTARIOS 2021</t>
  </si>
  <si>
    <t>VENEZUELA 0102-0762-2000000076212 CTA. GASTOS 2021</t>
  </si>
  <si>
    <t>I.M.C.P. 0601-0001-26-0014107197 "CUENTA GASTOS 2022"</t>
  </si>
  <si>
    <t>VENEZUELA 0102-0762-24-0000078045 "GASTOS 2022"</t>
  </si>
  <si>
    <t>I.M.C.P. 0601-0001-21-0014107213 "ING. EXT. EJEC. NAC."</t>
  </si>
  <si>
    <t>0601-0001-22-0014107221 "A.M.L. FCI 2022"</t>
  </si>
  <si>
    <t>0601-0001-26-0014107247 "A.M.L. REINTEGROS 2022"</t>
  </si>
  <si>
    <t>0601-0001-25-2214107239 "A.M.L. RESERVAS DEL TESORO MCPAL."</t>
  </si>
  <si>
    <t>0601-0001-29-0014107254 "A.M.L.INGRESOS NO TRIBUTARIOS"</t>
  </si>
  <si>
    <t>0601-0001-20-0014107262 "A.M.L. IMP. Y RETENC. 2022"</t>
  </si>
  <si>
    <t>0601-0001-21-0014107270 "A.M.L.APOSTILLAMIENTO 2022"</t>
  </si>
  <si>
    <t>I.M.C.P. 0106-0001-25-0014107189 "A.M.L. FISCO MCPAL. 2022"</t>
  </si>
  <si>
    <t>VENEZUELA 0102-0762-21-0000078508 "FONDO DE COMP. 2022"</t>
  </si>
  <si>
    <t>VENEZUELA 0102-0762-26-0000083700 "A.M.L. ING. PROPIOS 2022"</t>
  </si>
  <si>
    <t>TESORO 9033007947</t>
  </si>
  <si>
    <t>PARTIDA POR CERTIFICAR/TRANSITORIAS</t>
  </si>
  <si>
    <t>PARTIDAS POR CERTIFICAR IMCP 816</t>
  </si>
  <si>
    <t>PARTIDA POR CERTIFICAR VENEZUELA</t>
  </si>
  <si>
    <t>PARTIDA POR CERTIFICAR TESORO</t>
  </si>
  <si>
    <t>PAERTIDA POR CERTIFICAR IMCP 0014098545</t>
  </si>
  <si>
    <t>PARTIDA POR CERTIFICAR IMCP 98628</t>
  </si>
  <si>
    <t>PARTIDA POR CERTIFICAR VZLA 59226</t>
  </si>
  <si>
    <t>PATIDAS POR CERTIFICAR Y O/P EN TRANSITOS</t>
  </si>
  <si>
    <t>CODIGO UNIFICADO</t>
  </si>
  <si>
    <t>BANCAMIGA 0172-0000-00-00000003155</t>
  </si>
  <si>
    <t>BANESCO 0134-0328-7132-8107-4973 CTA.GASTOS 2021</t>
  </si>
  <si>
    <t>BANCRECER 0168-0001-58-5101315550 CTA. GASTOS 2021</t>
  </si>
  <si>
    <t>BANESCO 0134-0328-76-3281075293 "CUENTA GASTOS 2022"</t>
  </si>
  <si>
    <t>BANCAMIGA 0172-0110-70-1108264043</t>
  </si>
  <si>
    <t>BANCARIBE 01140159741590176008 "A.M.L. FISCO MCIPAL. 2022"</t>
  </si>
  <si>
    <t>BNC 0191-0384-62-2100029955 "A.M.L. FISCO MUNICIPAL"</t>
  </si>
  <si>
    <t>PROVINCIAL 0108-0582-71-0100052623 "A.M.L. CUENTA DE GASTOS 2022"</t>
  </si>
  <si>
    <t>BANCAMIGA 0172011076-1108379924 "A.M.L. CUENTA DE GASTOS 2022"</t>
  </si>
  <si>
    <t>PARTIDA POR CERTIFICAR BANESCO</t>
  </si>
  <si>
    <t>PARTIDA POR CERTIFICAR PROVINCIAL</t>
  </si>
  <si>
    <t>PARTIDA POR CERTIFICAR BNC</t>
  </si>
  <si>
    <t>PARTIDA POR CERTIFICAR BANCAMIGA</t>
  </si>
  <si>
    <t>BANCO PRIVADO</t>
  </si>
  <si>
    <t>FONDOS DEL SITUADO COORDINADO</t>
  </si>
  <si>
    <t>I.M.C.P. 0601-0001-27-0014072037</t>
  </si>
  <si>
    <t>I.M.C.P. 004103477 SITUADO MUNICIPAL 2021</t>
  </si>
  <si>
    <t>I.M.C.P. 0601-0001-21-0014107205 "A.M.L. SITUADO MCPAL. 2022"</t>
  </si>
  <si>
    <t>VENEZUELA 0102-0792-23-0000078524 "A.M.L. SITUADO MCPAL. 2022"</t>
  </si>
  <si>
    <t>SUB ESPECIFICA</t>
  </si>
  <si>
    <t>ESPECIFICA</t>
  </si>
  <si>
    <t xml:space="preserve">TERCER DIGITO DE PUB 21 Y </t>
  </si>
  <si>
    <t>PUBLICACION 21</t>
  </si>
  <si>
    <t>ORDENES DE PAGO</t>
  </si>
  <si>
    <t>GASTOS POR PAGAR</t>
  </si>
  <si>
    <t>DOCUMENTOS NEGOCIABLES</t>
  </si>
  <si>
    <t>PRESTAMOS A CORTO PLAZO</t>
  </si>
  <si>
    <t>INGRESOS POR RECAUDAR</t>
  </si>
  <si>
    <t>DEPOSITOS ESPECIALES</t>
  </si>
  <si>
    <t>FONDOS EN AVANCE</t>
  </si>
  <si>
    <t>DEPOSITOS DE TERCEROS</t>
  </si>
  <si>
    <t>FONDOS ANTICIPADOS</t>
  </si>
  <si>
    <t>RESERVAS DE PREVISION</t>
  </si>
  <si>
    <t>FONDOS ESPECIALES</t>
  </si>
  <si>
    <t>FONDOS DE TERCEROS</t>
  </si>
  <si>
    <t>SITUACION FINANCIERA DEL TESORO</t>
  </si>
  <si>
    <t>SITUACION FISCAL DEL TESORO</t>
  </si>
  <si>
    <t>DEUDA PUBLICA MUNICIPAL</t>
  </si>
  <si>
    <t>APORTE DE CAPITAL Y ACCIONES</t>
  </si>
  <si>
    <t>OBLIGACIONES DIFERIDAS</t>
  </si>
  <si>
    <t>BIENES INMUEBLES</t>
  </si>
  <si>
    <t>RESERVAS PARA ACTIVOS DUDOSOS</t>
  </si>
  <si>
    <t>BIENES  MUEBLES</t>
  </si>
  <si>
    <t>HACIENDA MUNICIPAL</t>
  </si>
  <si>
    <t>PROVEEDURIAS Y ALMACENES</t>
  </si>
  <si>
    <t>ING. DE LENTA Y DE DIFICIL RECAUDACION</t>
  </si>
  <si>
    <t>RESPONSABILIDADES FISCALES</t>
  </si>
  <si>
    <t>OTROS ACTIVOS</t>
  </si>
  <si>
    <t>FONDOS EN BANCOS INTERVENIDOS</t>
  </si>
  <si>
    <t>FONDOS BANCOS INTERVENIDOS</t>
  </si>
  <si>
    <t>UNIDAD DE CONTABILIDAD</t>
  </si>
  <si>
    <t>SITUADO MUNICIPAL 2019</t>
  </si>
  <si>
    <t>INGRESOS POR RECAUDAR 2020</t>
  </si>
  <si>
    <t>INGRESOS POR RECAUDAR 2021</t>
  </si>
  <si>
    <t>INGRESOS POR RECAUDAR SITUADO MUNICIPAL 2021</t>
  </si>
  <si>
    <t>INGRESOS POR RECAUDAR BANESCO</t>
  </si>
  <si>
    <t>ING. X RECAUDAR PROVINCIAL 2018</t>
  </si>
  <si>
    <t>PARTIDAS POR CERTIFICAR BANCO DE VENEZUELA</t>
  </si>
  <si>
    <t>ING. POR RECAUDAR TESORO 2018</t>
  </si>
  <si>
    <t>INGRESOS POR RECAUDAR IMCP 98545</t>
  </si>
  <si>
    <t>INGRESOS POR RECAUDAR BNC</t>
  </si>
  <si>
    <t>INGRESOS POR RECAUDAR BANCARIBE</t>
  </si>
  <si>
    <t xml:space="preserve">INGRESOS POR RECAUDAR FONDO COMUN </t>
  </si>
  <si>
    <t>INGRESOS POR RECAUDAR BANCAMIGA</t>
  </si>
  <si>
    <t>FONDOS EN AVANCE 2012</t>
  </si>
  <si>
    <t>FONDOS ADMINISTRADOS DE SALUD</t>
  </si>
  <si>
    <t>FONDOS EN AVANCE 2013</t>
  </si>
  <si>
    <t>FONDOS ADMI. DE SALUD 2013</t>
  </si>
  <si>
    <t>FONDOS EN AVANCE 2018</t>
  </si>
  <si>
    <t>SINDICATURA MUNICIPAL 2018</t>
  </si>
  <si>
    <t>DIRECCION DE RECURSOS HUMANOS 2018</t>
  </si>
  <si>
    <t>SUMAT 2018</t>
  </si>
  <si>
    <t>CAMARA MUNICIPAL 2018</t>
  </si>
  <si>
    <t>FONDOS EN AVANCE 2019</t>
  </si>
  <si>
    <t>SINDICATURA MUNICIPAL 2019</t>
  </si>
  <si>
    <t>DIRECCION DE RECURSOS HUMANOS 2019</t>
  </si>
  <si>
    <t>SUMAT 2019</t>
  </si>
  <si>
    <t>CAMARA MUNICIPAL 2019</t>
  </si>
  <si>
    <t>FONDOS EN AVANCE 2020</t>
  </si>
  <si>
    <t>SINDICATURA MUNICIPAL 2020</t>
  </si>
  <si>
    <t>DIR. DE RECURSOS HUMANOS 2020</t>
  </si>
  <si>
    <t>SUMAT 2020</t>
  </si>
  <si>
    <t>CAMARA MUNICIPAL 2020</t>
  </si>
  <si>
    <t>FONDOS EN AVANCE AÑO 2021</t>
  </si>
  <si>
    <t>SINDICATURA MUNICIPAL 2021</t>
  </si>
  <si>
    <t>DIR. DE RECURSOS HUMANOS 2021</t>
  </si>
  <si>
    <t>SUMAR 2021</t>
  </si>
  <si>
    <t>CAMARA MUNICIPAL 2021</t>
  </si>
  <si>
    <t>FONDOS EN AVANCE AÑO 2022</t>
  </si>
  <si>
    <t>SINDICATURA MUNICIPAL 2022</t>
  </si>
  <si>
    <t>SUMAR 2022</t>
  </si>
  <si>
    <t>CAMARA MUNICIPAL 2022</t>
  </si>
  <si>
    <t>ANTICIPOS A CONTRATISTAS 2009</t>
  </si>
  <si>
    <t>ANTICIPOS A CONTRATISTAS 2015</t>
  </si>
  <si>
    <t>ANTICIPOS A CONTRATISTAS 2016</t>
  </si>
  <si>
    <t>ANTICIPOS A CONTRATISTAS 2017</t>
  </si>
  <si>
    <t>F.T.BANCO DE VENEZUELA 2020</t>
  </si>
  <si>
    <t>F.T. BANCO BICENTENARIO 2020</t>
  </si>
  <si>
    <t>F.T.BANCO DE VENEZUELA 2021</t>
  </si>
  <si>
    <t>F.T. BANCO BICENTENARIO 2021</t>
  </si>
  <si>
    <t>100</t>
  </si>
  <si>
    <t>102</t>
  </si>
  <si>
    <t>ACTIVO EXIGIBLE</t>
  </si>
  <si>
    <t>ANTICIPOS A CONTRATISTAS 2006</t>
  </si>
  <si>
    <t>ANTICIPOS A CONTRATISTAS 2008</t>
  </si>
  <si>
    <t>INGRESOS POR RECAUDAR 2008</t>
  </si>
  <si>
    <t>INGRESOS POR RECAUDAR 2009</t>
  </si>
  <si>
    <t>ANTICIPOS A CONTRATISTAS 2007</t>
  </si>
  <si>
    <t>ANTICIPOS A CONTRATISTAS 2010</t>
  </si>
  <si>
    <t>ANTICIPOS A CONTRATISTAS 2011</t>
  </si>
  <si>
    <t>ANTICIPOS A CONTRATISTAS 2014</t>
  </si>
  <si>
    <t>ANTICIPOS A CONTRATISTAS 2018</t>
  </si>
  <si>
    <t>ACTIVO DE LA HACIENDA = ACTIVO NO CORRIENTE</t>
  </si>
  <si>
    <t>ACTIVO DEL TESORO = ACTIVO CORRIENTE</t>
  </si>
  <si>
    <t>ACCIONES</t>
  </si>
  <si>
    <t>ACCIONES Y ACCIONES INMERCA</t>
  </si>
  <si>
    <t>PARROQUIA ALTAGRACIA</t>
  </si>
  <si>
    <t>PARROQUIA ANTIMANO</t>
  </si>
  <si>
    <t>PARROQUIA CANDELARIA</t>
  </si>
  <si>
    <t>PARROQUIA CATEDRAL</t>
  </si>
  <si>
    <t>PARROQUIA EL RECREO</t>
  </si>
  <si>
    <t>PARROQUIA EL VALLE</t>
  </si>
  <si>
    <t>PARROQUIA LA PASTORA</t>
  </si>
  <si>
    <t>PARROQUIA LA VEGA</t>
  </si>
  <si>
    <t>PARROQUIA MACARAO</t>
  </si>
  <si>
    <t>PARROQUIA SAN AGUSTIN</t>
  </si>
  <si>
    <t>PARROQUIA SAN JOSE</t>
  </si>
  <si>
    <t>PARROQUIA SAN JUAN</t>
  </si>
  <si>
    <t>PARROQUIA SANTA ROSALIA</t>
  </si>
  <si>
    <t>PARROQUIA SANTA TERESA</t>
  </si>
  <si>
    <t>PARROQUIA SUCRE</t>
  </si>
  <si>
    <t>PARROQUIA CARICUAO</t>
  </si>
  <si>
    <t>PARROQUIA SAN PEDRO</t>
  </si>
  <si>
    <t>PARROQUIA SAN BERNARDINO</t>
  </si>
  <si>
    <t>PARROQUIA PARAISO</t>
  </si>
  <si>
    <t>TERRENO LOS LOS TUMUSO</t>
  </si>
  <si>
    <t>EDIF. LA NACIONAL</t>
  </si>
  <si>
    <t>QTA. MELITA BOLEITA</t>
  </si>
  <si>
    <t>MARACAY EDO. ARAGUA</t>
  </si>
  <si>
    <t>AV. EL MILAGRO MARACAIBO</t>
  </si>
  <si>
    <t>COCHE</t>
  </si>
  <si>
    <t>VILLA DEL RIO (MIRANDA)</t>
  </si>
  <si>
    <t>EDIFICIO EJECUTIVO MIRANDA</t>
  </si>
  <si>
    <t>EDIFICIO BANVENEZ</t>
  </si>
  <si>
    <t>EDIFICIO GLORIETA</t>
  </si>
  <si>
    <t>PALALCIO MUNICIPAL</t>
  </si>
  <si>
    <t>TEATRO NACIONAL</t>
  </si>
  <si>
    <t>ESTACIONAMIENTO URDANETA</t>
  </si>
  <si>
    <t>ANTIGUO CINE LA PASTORA</t>
  </si>
  <si>
    <t>ESTACIONAMIENTO SAN JACINTO</t>
  </si>
  <si>
    <t>TERRENO MUNICIPAL EL ARABITO</t>
  </si>
  <si>
    <t>QUINTA GUZMAN BLANCO</t>
  </si>
  <si>
    <t>PARQUE ARISTIDE ROJAS</t>
  </si>
  <si>
    <t>FTE. SODA LOS CAOBOS</t>
  </si>
  <si>
    <t>TEATRO MUNICIPAL</t>
  </si>
  <si>
    <t>ESTACIONAMIENTO IESA</t>
  </si>
  <si>
    <t>PARCELA MI HOTEL PRESIDENT</t>
  </si>
  <si>
    <t>GRANJA OASIS</t>
  </si>
  <si>
    <t>LOCAL METRO MERCADO LA BANDERA</t>
  </si>
  <si>
    <t>LOCAL EDIF. DORAL CARACAS</t>
  </si>
  <si>
    <t>TORRENTA DE SAN JACINTO</t>
  </si>
  <si>
    <t>PRES. JM DE LOS RIOS CALLEJ.</t>
  </si>
  <si>
    <t>HACIENDA CAMURICHICO</t>
  </si>
  <si>
    <t>TERRENOS LAS TINAJITAS Nro 76</t>
  </si>
  <si>
    <t>TERRENO ALTAGRACIA SAN JOSE</t>
  </si>
  <si>
    <t>TERRENO CATIA CALLE COLOMBIA</t>
  </si>
  <si>
    <t>TERRENO ESQ. FERRENQUIN/PLAT</t>
  </si>
  <si>
    <t>TERRENO PLATANAL A CANDILITO</t>
  </si>
  <si>
    <t>TERRENO BARUTA BRUZUAL, S.B.</t>
  </si>
  <si>
    <t>TERRENO EL CALVARIO LOTE A</t>
  </si>
  <si>
    <t>TERRENO SAN MIGUEL LA LADERA</t>
  </si>
  <si>
    <t>TERRENO SECTOR CAÃ‘O AMARILLO</t>
  </si>
  <si>
    <t>TERRENO SAN JUAN 170209/170220</t>
  </si>
  <si>
    <t>TERRENO AVENIDA INTERC VALLE</t>
  </si>
  <si>
    <t>TERRENO PTE JUNIN PESCADOR</t>
  </si>
  <si>
    <t>TERRENO ANAUCO Y PANTEON</t>
  </si>
  <si>
    <t>TERRENO VOLMER Y LAGO</t>
  </si>
  <si>
    <t>TERRENO URB. VISTA ALEGRE</t>
  </si>
  <si>
    <t>BIENES MUEBLES SIND MCP</t>
  </si>
  <si>
    <t>CONSEJO LOCAL DE PLANIF. PUB.</t>
  </si>
  <si>
    <t>DESPACHO DEL ALCALDE</t>
  </si>
  <si>
    <t>DESPACHO CONSULTOR JURID.</t>
  </si>
  <si>
    <t>DIRECCION DE CONSUL JURID</t>
  </si>
  <si>
    <t>COORD. DE CONVENIOS Y CONTRAT.</t>
  </si>
  <si>
    <t>UNIDAD DE ESTUDIOS NORMATIVOS</t>
  </si>
  <si>
    <t>UNIDAD DICTAMENES Y OPINIONES</t>
  </si>
  <si>
    <t>GESTION GRAL. DE ASUNTOS SOCIOPOLITICOS</t>
  </si>
  <si>
    <t>DIRECCION DE PLANIFICACION URBANA</t>
  </si>
  <si>
    <t>UNIDAD DE INVESTIG. ESP.</t>
  </si>
  <si>
    <t>COORD. DE INVESTIGACIONES</t>
  </si>
  <si>
    <t>COORD. DE SEGURIDAD</t>
  </si>
  <si>
    <t>COORD. DE SUPERVISION</t>
  </si>
  <si>
    <t>UNIDAD DE ATENCION AL PUBL.</t>
  </si>
  <si>
    <t>UNIDAD DE APOYO ADMINIST.</t>
  </si>
  <si>
    <t>DIR. DE INFORM. Y RRPP</t>
  </si>
  <si>
    <t>UNIDAD DE PROT. Y REL. PUBL.</t>
  </si>
  <si>
    <t>COORD. DE PUBLICACIONES</t>
  </si>
  <si>
    <t>DIR. DE REL. INTERN. Y COOP. TEC.</t>
  </si>
  <si>
    <t>OFICINA MUNIC. DE REG. CIVIL</t>
  </si>
  <si>
    <t>UNIDAD DE REGISTRO CIVIL</t>
  </si>
  <si>
    <t>UNIDAD SUBALT. REGIST. CIVIL</t>
  </si>
  <si>
    <t>DIR. DEL CONSEJO PROT. AL NINO</t>
  </si>
  <si>
    <t>COORD. ATENC. PROT. NINOS Y ADOLE</t>
  </si>
  <si>
    <t>COORD. ATENC. ESTUD. PSICO-SOCIA</t>
  </si>
  <si>
    <t>DIRECCION DE CONTROL INTERNO</t>
  </si>
  <si>
    <t>UNIDAD DE CONTROL PREVIO</t>
  </si>
  <si>
    <t>UNIDAD DE CONTROL POSTERIOR</t>
  </si>
  <si>
    <t>UNIDAD DE INVEST. ADIMINISTRAT.</t>
  </si>
  <si>
    <t>GESTION GRAL. DE ADMINISTRACION</t>
  </si>
  <si>
    <t>DIRECCION DE SERVICIOS GENERALES</t>
  </si>
  <si>
    <t>UNIDAD TECNICA GESTION INVERSI</t>
  </si>
  <si>
    <t>COORDINAC. DE APOYO ADMINIST.</t>
  </si>
  <si>
    <t>COORD. DE SERVICIOS BASICOS</t>
  </si>
  <si>
    <t>COORDINACION DE TRANSPORTE</t>
  </si>
  <si>
    <t>COORDINACION DE MANTENIMIENTO</t>
  </si>
  <si>
    <t>COORD. SEGUR, VIGILANC. TRANSP</t>
  </si>
  <si>
    <t>DIREC. DE PLANIF. Y PRESUP.</t>
  </si>
  <si>
    <t>COORD. DE INFORMACION MCPAL</t>
  </si>
  <si>
    <t>COORD. DE APOYO ADMINISTRATIVO</t>
  </si>
  <si>
    <t>UNID. DE PLANIF. Y ORGANIZAC.</t>
  </si>
  <si>
    <t>COORD. DE ORGANIZAC. INSTITUC.</t>
  </si>
  <si>
    <t>COORD. DE PLANIFICACION</t>
  </si>
  <si>
    <t>UNID. DE PROGRAMAC. Y PRESUP.</t>
  </si>
  <si>
    <t>COORD. CONTROL Y EVALUC. PRESUP</t>
  </si>
  <si>
    <t>COORD. DE FORMULACION PRESUPUS</t>
  </si>
  <si>
    <t>DIRECCION DE INFORMATICA</t>
  </si>
  <si>
    <t>UNID. DE SERVICIOS DE GESTION</t>
  </si>
  <si>
    <t>COORD. SISTEMA DE INFOMACION</t>
  </si>
  <si>
    <t>COORD. DE APLICACION WEB</t>
  </si>
  <si>
    <t>UNID. DE SERVICIOS CORPORATIVO</t>
  </si>
  <si>
    <t>COORD. DE REDES Y SERVIDORES</t>
  </si>
  <si>
    <t>COORD. DE OPERAC. Y SERV. TECN</t>
  </si>
  <si>
    <t>DIRECCION DE RECURSOS HUMANOS</t>
  </si>
  <si>
    <t>COORD. DE BIENESTAR SOCIAL</t>
  </si>
  <si>
    <t>UNIDAD DE ATENCION INTEGRAL DE</t>
  </si>
  <si>
    <t>COORD. DE ADMON Y CONTROL PRESP</t>
  </si>
  <si>
    <t>COORD. DE PENSION. Y JUBILADOS</t>
  </si>
  <si>
    <t>UNIDAD DE ADMON DE RRHH</t>
  </si>
  <si>
    <t>COORDINACION DE NOMINAS</t>
  </si>
  <si>
    <t>COORDINACION DE ARCHIVO</t>
  </si>
  <si>
    <t>COORD. DE REGISTRO Y CONTROL</t>
  </si>
  <si>
    <t>UNID. DE RELAC. LABOR Y ADMIN</t>
  </si>
  <si>
    <t>UND. CAPTAC. Y DESARROLLO RRHH</t>
  </si>
  <si>
    <t>COORD. DE RECLUTAM. Y SELECCION</t>
  </si>
  <si>
    <t>COORD. DE CLASIF. Y REMUNERAC.</t>
  </si>
  <si>
    <t>COORDINACION DE ADIESTRAMINETO</t>
  </si>
  <si>
    <t>DIRECCION DE ADMON Y FINANZAS</t>
  </si>
  <si>
    <t>UNID. DE COMPRAS Y SUMINISTRO</t>
  </si>
  <si>
    <t>COORD. DE PROGRAMAC. COMPRAS</t>
  </si>
  <si>
    <t>COORDINACION DE COMPRAS</t>
  </si>
  <si>
    <t>UNIDAD DE TESORERIA</t>
  </si>
  <si>
    <t>COORD. DE CONCILIAC. BANCARIAS</t>
  </si>
  <si>
    <t>COORD. ANALISIS Y COLOC. FINAN</t>
  </si>
  <si>
    <t>COORDINACION DE PAGO Y CAJA</t>
  </si>
  <si>
    <t>COORD. DE RENDICION DE CIENTAS</t>
  </si>
  <si>
    <t>COORD. DE CONTAB.</t>
  </si>
  <si>
    <t>COORD. DE CONTABILIDAD FISCAL</t>
  </si>
  <si>
    <t>COORD. DE BIENES</t>
  </si>
  <si>
    <t>COORDINACION DE SEGURO</t>
  </si>
  <si>
    <t>DIRECCION DE GESTION URBANA</t>
  </si>
  <si>
    <t>GTION. GRAL. PLANIF. CONTROL</t>
  </si>
  <si>
    <t>COORD. GRAL. OBRAS Y SERV. PUB.</t>
  </si>
  <si>
    <t>UNIDAD DE APOYO  ADMINISTRATIVO</t>
  </si>
  <si>
    <t>DIRECCION DE CONTROL URBANO</t>
  </si>
  <si>
    <t>SERV. AUT. INSPECC. OBRA EDIF SAIO</t>
  </si>
  <si>
    <t>UNID. DE CONTROL OBRAS Y CONCES</t>
  </si>
  <si>
    <t>COORDINACION DE INSPECCION</t>
  </si>
  <si>
    <t>COORD. DE CONCESIONES Y VIAL</t>
  </si>
  <si>
    <t>UNIDAD DE PROTECCION AMBIENTAL</t>
  </si>
  <si>
    <t>UNIDAD ECONOMIA INFORMAL</t>
  </si>
  <si>
    <t>UNIDAD DE REV. Y EVAL. DE</t>
  </si>
  <si>
    <t>UNIDAD DE DOC. Y CONFORMIDADES</t>
  </si>
  <si>
    <t>COORD. DE PROYECTOS ESPECIALES</t>
  </si>
  <si>
    <t>UNID. DE DOCUMENT. Y ASUNTOS LEG.</t>
  </si>
  <si>
    <t>COORD. DE DOCUMENTACION</t>
  </si>
  <si>
    <t>COORD. DE ASUNTOS LEGALES</t>
  </si>
  <si>
    <t>DIRECCION DE CATASTRO MUNICIPAL</t>
  </si>
  <si>
    <t>UND. ASENTAMIENTO URBANO POPUL</t>
  </si>
  <si>
    <t>COORD. JURIDICA E INVERSION</t>
  </si>
  <si>
    <t>COORD. ASISTENCIA TECNICA DIGIT</t>
  </si>
  <si>
    <t>UNIDAD DE DOCUMENT. CATASTRAL</t>
  </si>
  <si>
    <t>COORD. INFORMC. CATAST. URB.</t>
  </si>
  <si>
    <t>COORD. DE PROCESAMIENTO DATOS</t>
  </si>
  <si>
    <t>UNIDAD DE CATASTRO</t>
  </si>
  <si>
    <t>COORD. DE INMUEBLES MUNICIPALES</t>
  </si>
  <si>
    <t>COORD. DE ATENC. CONT. Y SEGUIM.</t>
  </si>
  <si>
    <t>COORD. DE INSPEC. Y CALCULO</t>
  </si>
  <si>
    <t>DIREC. EJEC.OBRAS Y CONSERV. AMB</t>
  </si>
  <si>
    <t>UNIDAD DE PLANES Y PROYECTOS</t>
  </si>
  <si>
    <t>COORD. DE ELABORACION Y PROTEC.</t>
  </si>
  <si>
    <t>COORD. DE CONTROL DE PROYECTOS</t>
  </si>
  <si>
    <t>UNIDAD DE CONTRATACION</t>
  </si>
  <si>
    <t>COORD. DE CONTRAT. Y APOY. LEGAL</t>
  </si>
  <si>
    <t>UND. DE INSPEC. Y CONSERV. AMB.</t>
  </si>
  <si>
    <t>COORD. DE INSPEC. Y SUPERVIS.</t>
  </si>
  <si>
    <t>S.U.M.A.T</t>
  </si>
  <si>
    <t>CONTRALORIA MUNICIPAL</t>
  </si>
  <si>
    <t>CAMARA MUNICIPAL</t>
  </si>
  <si>
    <t>APOYO AL PODER COMUNAL</t>
  </si>
  <si>
    <t>UNIDAD DE APOYO ADMINISTRATIVO</t>
  </si>
  <si>
    <t>DIRECCION DE PROGRAMAS DE SALUD</t>
  </si>
  <si>
    <t>COORD. DE CLINICAS MOVILES</t>
  </si>
  <si>
    <t>COORD. DE PROG.DE</t>
  </si>
  <si>
    <t>DIRECCION DE  EDUCACION</t>
  </si>
  <si>
    <t>COORD. ATENC. A UNANPRE Y GUAR</t>
  </si>
  <si>
    <t>COORD. DE PROG.DE ALIMENT, ESCOL</t>
  </si>
  <si>
    <t>GUARDERIA MENCA DE LEONI</t>
  </si>
  <si>
    <t>GUARCERIA NELLY CUERVO DE GB</t>
  </si>
  <si>
    <t>GUARDERIA PEDRO E. GUTIERREZ</t>
  </si>
  <si>
    <t>GUARDERIA SIMON BOLIVAR II</t>
  </si>
  <si>
    <t>GUARDERIA INES PONTE</t>
  </si>
  <si>
    <t>GUARDERIA SIMON RODRIGUEZ</t>
  </si>
  <si>
    <t>GUARDERIA JOSE FRANCISCO TORR.</t>
  </si>
  <si>
    <t>GUARDERIA LEONARDO RUIZ PINEDA</t>
  </si>
  <si>
    <t>GUARDERIA LOLA DE FUEMAYOR</t>
  </si>
  <si>
    <t>GUARDERIA DR.J.M. DE LOS RIOS</t>
  </si>
  <si>
    <t>GUARDERIA LUISA CASERES DE ARI</t>
  </si>
  <si>
    <t>GUARDERIA AMINTA DEMANANILLA</t>
  </si>
  <si>
    <t>GUARDERIA ANDRES ELOY BLANCO</t>
  </si>
  <si>
    <t>GUARD. CARLOS GUINAND SANDOZ</t>
  </si>
  <si>
    <t>GUARDERIA  COCHECITO</t>
  </si>
  <si>
    <t>GUARDERIA FUNDAPOL</t>
  </si>
  <si>
    <t>GUARDERIA GRACIELA GUARDIA ROJ</t>
  </si>
  <si>
    <t>COORD. DE EDUCACION SOCIAL</t>
  </si>
  <si>
    <t>C.E.M.A.I. I EL RECREO</t>
  </si>
  <si>
    <t>CENT. MCPAL APOY.P.C. SAN JUAN</t>
  </si>
  <si>
    <t>CENTRO ATENC. INTEG. IV. CARICUAO</t>
  </si>
  <si>
    <t>CENTRO ATENC. INTEG. INT. LA CANDELARIA</t>
  </si>
  <si>
    <t>CENT. ATENC. INT. SAN BERNARDINO</t>
  </si>
  <si>
    <t>CENTRO ATENC. INT.V SAN AGUST.</t>
  </si>
  <si>
    <t>CENT. ATENC. INTEG.SAN PEDRO</t>
  </si>
  <si>
    <t>CENTRO ANT. INTEG.VI COCHE</t>
  </si>
  <si>
    <t>CENTRO DE ATENC.INTEG. PASTORA</t>
  </si>
  <si>
    <t>CENTRO DE ATENC. INT. ANTIMANO</t>
  </si>
  <si>
    <t>CENTRO ATENC.INTEG. VIII 23 ENE</t>
  </si>
  <si>
    <t>CENTRO ATENC. INT CATEDRAL</t>
  </si>
  <si>
    <t>CENTRO ATENC. INT.IX LA VEGA</t>
  </si>
  <si>
    <t>C.E.M.A.I. XI ALTAGRACIA</t>
  </si>
  <si>
    <t>C.E.M.A.I. VII SANTA TERESA</t>
  </si>
  <si>
    <t>CENTRO ATENC. INT. XII MACAR.</t>
  </si>
  <si>
    <t>CENTRO ATENC. INT. XIII SUC.</t>
  </si>
  <si>
    <t>ATENCION INTEG. SAN MARTIN</t>
  </si>
  <si>
    <t>CASA DE LA MUJER I</t>
  </si>
  <si>
    <t>ATENCION INTEG. EL PARAISO</t>
  </si>
  <si>
    <t>CENTRO ATENC. INT. EL JUNQ.</t>
  </si>
  <si>
    <t>CENTRO ATENC. INT. EL VALLE</t>
  </si>
  <si>
    <t>DIR. GOBIERNOS COMUNALES</t>
  </si>
  <si>
    <t>UNID. FORM. Y COM. POP.</t>
  </si>
  <si>
    <t>COORD. TRAB. Y PROM. SOCIAL</t>
  </si>
  <si>
    <t>COORD. DE PARTIC. COMUNIT.</t>
  </si>
  <si>
    <t>DIR. MUNIC. ANTIDROGA</t>
  </si>
  <si>
    <t>DIR. DESAROLLO ECONOMICO</t>
  </si>
  <si>
    <t>ADMIN. Y FINANZAS (MAT. OFIC.)</t>
  </si>
  <si>
    <t>ADMIN. Y FINANZAS (MAT. ASEO)</t>
  </si>
  <si>
    <t>ADMIN. Y FINANZAS (ALIM Y BEBI)</t>
  </si>
  <si>
    <t>INFRAESTRUCTURA (MAT. DE OFIC)</t>
  </si>
  <si>
    <t>INFRAESTRUCTURA (MAT. DE ASEO)</t>
  </si>
  <si>
    <t>INFRAESTRUCTURA (MAT. DE CONST)</t>
  </si>
  <si>
    <t>INFRAESTRUCTURA (ALIMENT. Y</t>
  </si>
  <si>
    <t>INFRAESTRUCTURA (MAT. ELECTRIC)</t>
  </si>
  <si>
    <t>INFRAESTRUCTURA (MAT. SEGUR)</t>
  </si>
  <si>
    <t>PLANIF. Y PPTO. (MAT. OFIC)</t>
  </si>
  <si>
    <t>PLANIF. Y PPTO. (MAT. DE ASEO)</t>
  </si>
  <si>
    <t>PLANIF. Y PPTO. (MAT. DE CONST)</t>
  </si>
  <si>
    <t>PLANIF. Y PPTO. (ALIMENT. Y BEBI)</t>
  </si>
  <si>
    <t>APOYO POD. COM (MAT. DE OFIC)</t>
  </si>
  <si>
    <t>APOYO POD. COM (MAT. DE ASEO)</t>
  </si>
  <si>
    <t>APOYO POD. COM (FRANELAS)</t>
  </si>
  <si>
    <t>APOYO POD. COM (JUGUETES)</t>
  </si>
  <si>
    <t>DESP. DEL ALCALDE (MAT. OFIC)</t>
  </si>
  <si>
    <t>DESP. DEL ALCALDE (MAT. ASEO)</t>
  </si>
  <si>
    <t>DESP. DEL ALCALDE (ALIM. Y BEBI)</t>
  </si>
  <si>
    <t>REGISTRO CIVIL (MAT. DE OFIC)</t>
  </si>
  <si>
    <t>REGISTRO CIVIL (MAT. DE ASEO)</t>
  </si>
  <si>
    <t>REGISTRO CIVIL (MAT. DE CONST)</t>
  </si>
  <si>
    <t>SUMAT (MAT. DE OFICINA)</t>
  </si>
  <si>
    <t>SUMAT (MAT. DE ASEO)</t>
  </si>
  <si>
    <t>SUMAT (MAT. CONST.)</t>
  </si>
  <si>
    <t>SUMAT (ALIMENT Y BEBI)</t>
  </si>
  <si>
    <t>SUMAT (MAT. DE ELECT.)</t>
  </si>
  <si>
    <t>SUMAT (ART. DEPORTIVOS)</t>
  </si>
  <si>
    <t>SUMAT (ART. DE SEGURIDAD)</t>
  </si>
  <si>
    <t>SUMAT (ART. USO DOMEST)</t>
  </si>
  <si>
    <t>SUMAT (REPUESTOS, ACCES,
SUMAT (MAT. DE CONSUMO)</t>
  </si>
  <si>
    <t>SUMAT (MAT. AGRIC. Y PEC.)</t>
  </si>
  <si>
    <t>CONTROL URB. (MAT. DE OFIC.)</t>
  </si>
  <si>
    <t>CONTROL URB.(MAT. DE ASEO)</t>
  </si>
  <si>
    <t>CONTROL URB. (ALIMENTOS Y BEBID.)</t>
  </si>
  <si>
    <t>CONTROL URB. (MAT. DE CONST.)</t>
  </si>
  <si>
    <t>CONTROL URB. (ART. DE SEGURIDAD)</t>
  </si>
  <si>
    <t>CONTROL URB. (REPUESTOS Y ACCES.</t>
  </si>
  <si>
    <t>CONS. LOC.PLANIF. PUB.( MAT. DE</t>
  </si>
  <si>
    <t>CONS. LOC. PLANIF. PUB.(MAT. DE</t>
  </si>
  <si>
    <t>CONS. LOC. PLANIF. PUB. (ALIMENT. Y</t>
  </si>
  <si>
    <t>ING. DE LENTA Y DIF. RECAUD.</t>
  </si>
  <si>
    <t>ING. DE RECAUDAR SITUADO 2000</t>
  </si>
  <si>
    <t>ING. X RECAUDAR SERDECO 2004</t>
  </si>
  <si>
    <t>FONDOS POR REINTEGRAR</t>
  </si>
  <si>
    <t>INV. EN ENTES DESCENTRALIZADOS</t>
  </si>
  <si>
    <t>OTRAS INVERSIONES</t>
  </si>
  <si>
    <t>FALTANTES BIENES</t>
  </si>
  <si>
    <t>BNES. MBLES. FALTANTES POR INVEST.</t>
  </si>
  <si>
    <t>FALTANTES POR INVESTIGAR 2008</t>
  </si>
  <si>
    <t>FALTANTES IX INVEST. ADMON Y</t>
  </si>
  <si>
    <t>FALTANTE POR INVESTIGAR 2009</t>
  </si>
  <si>
    <t>BCO. CANARIAS 0050053</t>
  </si>
  <si>
    <t>FALTANTES POR INVESTIGAR 2010</t>
  </si>
  <si>
    <t>FALTANTES POR INVESTIGAR 2011</t>
  </si>
  <si>
    <t>FALTANTES POR INVESTIGAR 2012</t>
  </si>
  <si>
    <t>FALTANTE POR INVESTIGAR 2014</t>
  </si>
  <si>
    <t>FALTANTES POR INVESTIGAR 2015</t>
  </si>
  <si>
    <t>FALTANTES POR INVESTIGAR 2016</t>
  </si>
  <si>
    <t>FALTANTES POR INVESTIGAR 2017</t>
  </si>
  <si>
    <t>FALTANTES POR INVESTIGAR 2018</t>
  </si>
  <si>
    <t>FALTANTE POR INVESTIGAR 2019</t>
  </si>
  <si>
    <t>BCO. COMERCIO CTA. 18070229</t>
  </si>
  <si>
    <t>BCO. B.B.D. CTA. 01-807730</t>
  </si>
  <si>
    <t>BCO. B.N.D. No. 807778-1</t>
  </si>
  <si>
    <t>BCO. B.T.V. No. 001008789-7</t>
  </si>
  <si>
    <t>BCO. B.T.V. No. 001-0044675-0</t>
  </si>
  <si>
    <t>BCO. B.T.V. No. 001-07324-3</t>
  </si>
  <si>
    <t>CONSTRUCCION 01-57720-4</t>
  </si>
  <si>
    <t>CONSTRUCCION 01-00121-3</t>
  </si>
  <si>
    <t>CONSTRUCCION 01-71941-6</t>
  </si>
  <si>
    <t>CANARIAS DE VZLA. 002-100055-6</t>
  </si>
  <si>
    <t>OTROS ACTIVOS G.D.F.</t>
  </si>
  <si>
    <t>LA GUAIRA 00-20323-9</t>
  </si>
  <si>
    <t>LA GUAIRA 00-15557-8</t>
  </si>
  <si>
    <t>LATINO 01-039992-4</t>
  </si>
  <si>
    <t>I.M.C.P 001-00590-1</t>
  </si>
  <si>
    <t>I.M.C.P 001--00353-4</t>
  </si>
  <si>
    <t>METROPOLITANO 001-00689-6</t>
  </si>
  <si>
    <t>METROPOLITANO 001-04211-4</t>
  </si>
  <si>
    <t>LATINO 02-49471-1</t>
  </si>
  <si>
    <t>MARACAIBO 038-04023-4</t>
  </si>
  <si>
    <t>ACT. DE CONVENIO IMCP</t>
  </si>
  <si>
    <t>BANCOR 001-1-10467-5</t>
  </si>
  <si>
    <t>PASIVO</t>
  </si>
  <si>
    <t>PASIVO DEL TESORO = PASIVO CORRIENTE</t>
  </si>
  <si>
    <t>PASIVO DE LA HACIENDA = PASIVO NO CORRIENTE</t>
  </si>
  <si>
    <t>PASIVO DISPONIBLE</t>
  </si>
  <si>
    <t>PASIVO EXIGIBLE</t>
  </si>
  <si>
    <t>ORDENES DE PAGO AÑO 2021</t>
  </si>
  <si>
    <t>OP SUJETAS A RENDICION 2021</t>
  </si>
  <si>
    <t>OP DIRECTAS 2021</t>
  </si>
  <si>
    <t>ORDENES DE PAGO AÑO 2022</t>
  </si>
  <si>
    <t>OP SUJETAS A RENDICION 2022</t>
  </si>
  <si>
    <t>OP DIRECTAS 2022</t>
  </si>
  <si>
    <t>ORDENES DE PAGO AÑO 2023</t>
  </si>
  <si>
    <t>OP SUJETAS A RENDICION 2023</t>
  </si>
  <si>
    <t>OP DIRECTAS 2023</t>
  </si>
  <si>
    <t>RELACION DE COMPROMISO DEL TESORO</t>
  </si>
  <si>
    <t>DENOMINACION DE LA CUENTA</t>
  </si>
  <si>
    <t>CUENTA MATRIZ</t>
  </si>
  <si>
    <t>CAEMSUMATMBL</t>
  </si>
  <si>
    <t>CAPREPROSERPUAMBL</t>
  </si>
  <si>
    <t>CAMUBOL</t>
  </si>
  <si>
    <t>GASTOS BANCARIOS</t>
  </si>
  <si>
    <t>CUENTA POR PAGAR AL INSTITUTO VENEZOLANO DE LOS SEGUROS SOCIALES (IVSS)</t>
  </si>
  <si>
    <t>CUENTA POR PAGAR AL FONDO DE AHORRO HABITACIONAL</t>
  </si>
  <si>
    <t>CUENTA POR PAGAR AL FONDO DE JUBILACIONES</t>
  </si>
  <si>
    <t>CUENTA POR PAGAR AL INSTITUTO NACIONAL DE CAPACITACION Y EDUCACION SOCIALISTA (INCES)</t>
  </si>
  <si>
    <t>RETENCIONES LABORALES POR PAGAR AL INSTITUTO VENEZOLANO DE LOS SEGUROS SOCIALES (IVSS) AL PERSONAL EMPLEADO</t>
  </si>
  <si>
    <t>APORTES PATRONALES POR PAGAR AL INSTITUTO VENEZOLANO DE LOS SEGUROS SOCIALES (IVSS) DEL PERSONAL EMPLEADO</t>
  </si>
  <si>
    <t>RETENCIONES LABORALES POR PAGAR AL INSTITUTO VENEZOLANO DE LOS SEGUROS SOCIALES (IVSS) AL PERSONAL OBRERO</t>
  </si>
  <si>
    <t>APORTES PATRONALES POR PAGAR AL INSTITUTO VENEZOLANO DE LOS SEGUROS SOCIALES (IVSS) AL PERSONAL OBRERO</t>
  </si>
  <si>
    <t>RETENCIONES LABORALES POR PAGAR AL REGIMEN PRESTACIONAL DE EMPLEO AL PERSONAL EMPLEADO</t>
  </si>
  <si>
    <t>APORTES POR PAGAR AL REGIMEN PRESTACIONAL DE EMPLEO AL PERSONAL EMPLEADO</t>
  </si>
  <si>
    <t>RETENCIONES LABORALES POR PAGAR AL REGIMEN PRESTACIONAL DE EMPLEO AL PERSONAL OBRERO</t>
  </si>
  <si>
    <t>APORTES POR PAGAR AL REGIMEN PRESTACIONAL DE EMPLEO PARA EL PERSONAL OBRERO</t>
  </si>
  <si>
    <t>RETENCIONES LABORALES POR PAGAR AL FONDO DE AHORRO HABITACIONAL DEL PERSONAL EMPLEADO</t>
  </si>
  <si>
    <t>APORTES PATRONALES POR PAGAR AL FONDO DE AHORRO HABITACIONAL DEL  PERSONAL EMPLEADOS</t>
  </si>
  <si>
    <t>RETENCIONES LABORALES POR PAGAR AL FONDO DE AHORRO HABITACIONAL DEL PERSONAL OBRERO</t>
  </si>
  <si>
    <t>APORTES PATRONALES POR PAGAR AL FONDO DE AHORRO HABITACIONAL DEL PERSONAL OBRERO</t>
  </si>
  <si>
    <t>RETENCIONES LABORALES POR PAGAR AL FONDO DE JUBILACIONES DEL PERSONAL EMPLEADO</t>
  </si>
  <si>
    <t>APORTE PATRONAL POR PAGAR AL FONDO DE JUBILACIONES DEL PERSONAL EMPLEADO</t>
  </si>
  <si>
    <t>RETENCIONES LABORALES POR PAGAR AL FONDO DE JUBILACIONES DEL PERSONAL OBRERO</t>
  </si>
  <si>
    <t>APORTE PATRONAL POR PAGAR AL FONDO DE JUBILACIONES DEL PERSONAL OBRERO</t>
  </si>
  <si>
    <t>RETENCIONES LABORALES POR PAGAR AL INSTITUTO NACIONAL DE CAPACITACION Y EDUCACION SOCIALISTA (INCES) DEL PERSONAL EMPLEADO</t>
  </si>
  <si>
    <t>APORTE PATRONAL POR PAGAR AL INSTITUTO NACIONAL DE CAPACITACION Y EDUCACION SOCIALISTA (INCES) DEL PERSONAL EMPLEADO</t>
  </si>
  <si>
    <t>RETENCIONES LABORALES POR PAGAR AL INSTITUTO NACIONAL DE CAPACITACION Y EDUCACION SOCIALISTA (INCES) DEL PERSONAL OBRERO</t>
  </si>
  <si>
    <t>APORTE PATRONAL POR PAGAR AL INSTITUTO NACIONAL DE CAPACITACION Y EDUCACION SOCIALISTA (INCES) DEL PERSONAL OBRERO</t>
  </si>
  <si>
    <t>ASOCIACIONES</t>
  </si>
  <si>
    <t>CAFUALCAML</t>
  </si>
  <si>
    <t>CAPSTECAAMLDMC</t>
  </si>
  <si>
    <t>CATJPAMLDC</t>
  </si>
  <si>
    <t>COLEGIO DE ABOGADOS</t>
  </si>
  <si>
    <t>SINDICATOS</t>
  </si>
  <si>
    <t>SUMEP</t>
  </si>
  <si>
    <t>OTROS DESCUENTOS</t>
  </si>
  <si>
    <t>ASOC. BOMBEROS JUBILADOS JUBILADOS</t>
  </si>
  <si>
    <t>A.U.J.P.M.L.D.C. JUBILADOS</t>
  </si>
  <si>
    <t>AJUNPENPOL PRESTAMO JUBILADOS</t>
  </si>
  <si>
    <t>AJCSML APORTE TRABAJADOR JUBILADOS</t>
  </si>
  <si>
    <t>ASOJALCA APORTE TRABAJADOR JUBILADOS</t>
  </si>
  <si>
    <t>CAEMSUMATMBL APORTE TRABAJADOR EMPLEADOS</t>
  </si>
  <si>
    <t>CAEMSUMATMBL PRESTAMOS EMPLEADOS</t>
  </si>
  <si>
    <t>CAEMSUMATMBL APORTE TRABAJADOR OBREROS</t>
  </si>
  <si>
    <t>CAEMSUMATMBL PRESTAMOS OBREROS</t>
  </si>
  <si>
    <t>CAFUALCAML APORTE TRABAJADOR EMPLEADOS</t>
  </si>
  <si>
    <t>CAFUALCAML PRESTAMO EMPLEADOS</t>
  </si>
  <si>
    <t>CAFUALCAML APORTE TRABAJADOR OBREROS</t>
  </si>
  <si>
    <t>CAFUALCAML PRESTAMO OBREROS</t>
  </si>
  <si>
    <t>CAFUALCAML APORTE TRABAJADOR JUBILADOS</t>
  </si>
  <si>
    <t>CAFUALCAML PRESTAMO JUBILADOS</t>
  </si>
  <si>
    <t>CAMUBOL APORTE TRABAJADOR EMPLEADOS</t>
  </si>
  <si>
    <t>CAMUBOL PRESTAMO EMPLEADOS</t>
  </si>
  <si>
    <t>CAMUBOL APORTE TRABAJADOR OBREROS</t>
  </si>
  <si>
    <t>CAMUBOL PRESTAMO OBREROS</t>
  </si>
  <si>
    <t>CAMUBOL APORTE TRABAJADOR JUBILADOS</t>
  </si>
  <si>
    <t>CAMUBOL PRESTAMO JUBILADOS</t>
  </si>
  <si>
    <t>CAPREPROSERPUAMBL APORTE TRABAJADOR EMPLEADOS</t>
  </si>
  <si>
    <t>CAPREPROSERPUAMBL APORTE TRABAJADOR OBREROS</t>
  </si>
  <si>
    <t>CAPREPROSERPUAMBL PRESTAMO OBREROS</t>
  </si>
  <si>
    <t>CAPREPROSERPUAMBL APORTE TRABAJADOR JUBILADOS</t>
  </si>
  <si>
    <t>CAPREPROSERPUAMBL PRESTAMO JUBILADOS</t>
  </si>
  <si>
    <t>CAPREPROSERPUAMBL PRESTAMO EMPLEADOS</t>
  </si>
  <si>
    <t>CAPSTECAAMLDMC APORTE TRABAJADOR EMPLEADOS</t>
  </si>
  <si>
    <t>CAPSTECAAMLDMC PRESTAMO EMPLEADOS</t>
  </si>
  <si>
    <t>CAPSTECAAMLDMC APORTE TRABAJADOR OBREROS</t>
  </si>
  <si>
    <t>CAPSTECAAMLDMC PRESTAMO OBREROS</t>
  </si>
  <si>
    <t>CAPSTECAAMLDMC APORTE TRABAJADOR JUBILADOS</t>
  </si>
  <si>
    <t>CAPSTECAAMLDMC PRESTAMO JUBILADOS</t>
  </si>
  <si>
    <t>CATJPAMLDC APORTE TRABAJADOR EMPLEADOS</t>
  </si>
  <si>
    <t>CATJPAMLDC PRESTAMO EMPLEADOS</t>
  </si>
  <si>
    <t>APORTE OBRERO C.A.T.J.P.A.M.L. OBREROS</t>
  </si>
  <si>
    <t>CATJPAMLDC APORTE TRABAJADOR OBREROS</t>
  </si>
  <si>
    <t>CATJPAMLDC PRESTAMO OBREROS</t>
  </si>
  <si>
    <t>CATJPAMLDC APORTE TRABAJADOR JUBILADOS</t>
  </si>
  <si>
    <t>CATJPAMLDC PRESTAMO JUBILADOS</t>
  </si>
  <si>
    <t>COLEGIO DE ABOGADOS EMPLEADOS</t>
  </si>
  <si>
    <t>SINDICATO UST A.M.B.L. D.C. EMPLEADOS</t>
  </si>
  <si>
    <t>SIRBEPA A.M.L. DIR. GRAL. EMPLEADOS</t>
  </si>
  <si>
    <t>SIRBEPA ADMINISTRATIVO EMPLEADOS</t>
  </si>
  <si>
    <t>CUOTA SINDICAL SUOMGIA JUBILADOS</t>
  </si>
  <si>
    <t>DESCUENTO CUOTA SINDICAL JUB. JUBILADOS</t>
  </si>
  <si>
    <t>SUMEP DIR. GENERAL EMPLEADOS</t>
  </si>
  <si>
    <t>ASOCI-JUB SUMEP APORTE TRABAJADOR JUBILADOS</t>
  </si>
  <si>
    <t>DCTO DIAS DE REPOSOS EXTEMP. EMPLEADOS</t>
  </si>
  <si>
    <t>INASIST. INJUSTIFICADA EMP. EMPLEADOS</t>
  </si>
  <si>
    <t>FERIA NAVIDEÃ‘A EMPLEADOS</t>
  </si>
  <si>
    <t>ASISTENCIAS JUBILADOS EMPLEADOS</t>
  </si>
  <si>
    <t>REIN. AUMENTO DE SUELDO EMPLEADOS</t>
  </si>
  <si>
    <t>AGUINALDO DEL 2002 OMITIDO EMPLEADOS</t>
  </si>
  <si>
    <t>DIF. SALARIO MIN. AGOSTO 04 EMPLEADOS</t>
  </si>
  <si>
    <t>PLAN AMD. SERV. FUNERARIOS EMPLEADOS</t>
  </si>
  <si>
    <t>CESTA DE NAVIDAD (JAMONES) EMPLEADOS</t>
  </si>
  <si>
    <t>BONO ESCOLAR 2003 EMPLEADOS</t>
  </si>
  <si>
    <t>FONDO NAVIDEÑO EMPLEADOS</t>
  </si>
  <si>
    <t>RETROACT. EMPL. EMPLEADOS</t>
  </si>
  <si>
    <t>DCTOS. COMBOS ALIMENTARIOS EMPLEADOS</t>
  </si>
  <si>
    <t>RETROACTIVO PARO FORZOSO EMP. EMPLEADOS</t>
  </si>
  <si>
    <t>BANCO MERCANTIL DIR. GRAL. EMPLEADOS</t>
  </si>
  <si>
    <t>RETROACTIVO FONDO AHORRO EMPLEADOS</t>
  </si>
  <si>
    <t>FARMACIAS EMPLEADOS</t>
  </si>
  <si>
    <t>RETROACT. PENSION ALIMENT. PERS. EMPLEADOS</t>
  </si>
  <si>
    <t>C.A LINEA CREDITO ESCOLAR EMPLEADOS</t>
  </si>
  <si>
    <t>DEDUCCION PENSION ALIMENT. PERS. EMPLEADOS</t>
  </si>
  <si>
    <t>DEDUCC. EFECT. EMPLEADOS</t>
  </si>
  <si>
    <t>PENSION ALIMENT. BONO VAC. EMPL. EMPLEADOS</t>
  </si>
  <si>
    <t>RETROACT. SERV. AMANECER EMPLEADOS</t>
  </si>
  <si>
    <t>DESCUENTOS CRED. PARCELAS EMPLEADOS</t>
  </si>
  <si>
    <t>TESORO NACIONAL DESC. I.S.L.R. EMPLEADOS</t>
  </si>
  <si>
    <t>DESCUENTO IMCP EMPL. EMPLEADOS</t>
  </si>
  <si>
    <t>DESC. PRIMA HIJO TRIBUNAL EMPLEADOS</t>
  </si>
  <si>
    <t>DESCUENTOS ESPECIAL AGUINALDOS EMPLEADOS</t>
  </si>
  <si>
    <t>DESCUENTOS DE PRODUCTOS EMPLEADOS</t>
  </si>
  <si>
    <t>DESC. ESP. AGUIN. PERS. EMPL. EMPLEADOS</t>
  </si>
  <si>
    <t>REINTEGRO COBRO INDEBIDO EMPLEADOS</t>
  </si>
  <si>
    <t>PRESTAMO JAMONES EMPLEADOS</t>
  </si>
  <si>
    <t>PRESTAMOS OFTALMOLOGIA EMPLEADOS</t>
  </si>
  <si>
    <t>PRESTAMO LINEA BLANCA EMPLEADOS</t>
  </si>
  <si>
    <t>PREST. CORTO PLAZO EMPLEADOS</t>
  </si>
  <si>
    <t>PRESTAMO MEDIANO PLAZO EMPLEADOS</t>
  </si>
  <si>
    <t>PRESTAMO CORTO PLAZO EMPLEADOS</t>
  </si>
  <si>
    <t>PRESTAMO COMERCIAL B EMPLEADOS</t>
  </si>
  <si>
    <t>PREST. FIJO ADM. EMPLEADOS</t>
  </si>
  <si>
    <t>PRESTAMO LARGO PLAZO EMPLEADOS</t>
  </si>
  <si>
    <t>PRESTAMO LARGO PLAZO ADM. EMPLEADOS</t>
  </si>
  <si>
    <t>REINT. PAGO INDEB. DIFERENCIA EMPLEADOS</t>
  </si>
  <si>
    <t>DESCUENTO SUELDO POR COMISION EMPLEADOS</t>
  </si>
  <si>
    <t>DCTO SUELDO POR COMISION OMITIDO EMPLEADOS</t>
  </si>
  <si>
    <t>REINTEGRO BONO VACACIONAL EMPLEADOS</t>
  </si>
  <si>
    <t>REINT. PAGO INDB. PRIMA PROF. EMPLEADOS</t>
  </si>
  <si>
    <t>REINT. PAGO INDB. PRIMA ANT. EMPLEADOS</t>
  </si>
  <si>
    <t>REINT. PAGO INDEB. COMISION DE EMPLEADOS</t>
  </si>
  <si>
    <t>REINT. COBRO INDEB.AGUINALDO EMPLEADOS</t>
  </si>
  <si>
    <t>REINT. COBRO INDEB. DIF. DE SUELDO EMPLEADOS</t>
  </si>
  <si>
    <t>REINT. PAGO INDEB. PRIMA EMPLEADOS</t>
  </si>
  <si>
    <t>REINT. AJUSTE SAL. MIN CONT MAYO 20 EMPLEADOS</t>
  </si>
  <si>
    <t>REINT. COBRO IND. COMP. DIR. GNRAL. EMPLEADOS</t>
  </si>
  <si>
    <t>REINT.COBRO INDEB. DIF.SUELDO. EMPLEADOS</t>
  </si>
  <si>
    <t>REINT. PAGO INDEB. POST GRADO Y EMPLEADOS</t>
  </si>
  <si>
    <t>REINT.COBRO INDEB. AJUSTE SAL. EMPLEADOS</t>
  </si>
  <si>
    <t>REINT. COBRO INDEB.AUM.10% EMPLEADOS</t>
  </si>
  <si>
    <t>REINTEGRO COBRO INDEB. PRIMA MERITO EMPLEADOS</t>
  </si>
  <si>
    <t>REINT. BONO DE RESPONSABILIDAD EMPLEADOS</t>
  </si>
  <si>
    <t>REINT. AUMT. MAYO EMPL. EMPLEADOS</t>
  </si>
  <si>
    <t>REINT. COMP. MAYO EMPLEADOS</t>
  </si>
  <si>
    <t>REINT. AUMT. JULIO EMPL. EMPLEADOS</t>
  </si>
  <si>
    <t>REINT. COMP. JULIO EMPLEADOS</t>
  </si>
  <si>
    <t>REINT. COBRO INDEB. RETRO HOMO EMPLEADOS</t>
  </si>
  <si>
    <t>REINT. AUMT. 30% NOV. EMPLEADOS</t>
  </si>
  <si>
    <t>REINT. OTRAS COMPENSACIONES EMPLEADOS</t>
  </si>
  <si>
    <t>REINT. AUMENTO COMPENS. EMPLEADOS</t>
  </si>
  <si>
    <t>REINTEGRO PRIMA PROTECCION DEL HOGAR EMPLEADOS</t>
  </si>
  <si>
    <t>REINT.COBRO INDEB.SUELDO EMPLEADOS</t>
  </si>
  <si>
    <t>REINT. PAGO INDEB. HORAS EXTRAS EMPLEADOS</t>
  </si>
  <si>
    <t>REINT. COBRO INDB. COMP. EMPLEADOS</t>
  </si>
  <si>
    <t>REINTE. PAGO INDEBIDO DIAS FERIADO EMPLEADOS</t>
  </si>
  <si>
    <t>REINT. INDEB. BONO NOCT. FIJO OBREROS</t>
  </si>
  <si>
    <t>REINT. COBRO INDEB. PRIMA POR HIJO OBREROS</t>
  </si>
  <si>
    <t>REINT. COBRO INDEB PRIMA/ OBREROS</t>
  </si>
  <si>
    <t>REINT. BONO VACACIONAL OBREROS</t>
  </si>
  <si>
    <t>REINT. SUELDO INDEB OBREROS</t>
  </si>
  <si>
    <t>PRESTAMO CORTO PLAZO OBREROS</t>
  </si>
  <si>
    <t>PRESTAMO MEDIANO PLAZO OBREROS</t>
  </si>
  <si>
    <t>SERVICIO FUNERARIO OBREROS</t>
  </si>
  <si>
    <t>PRESTAMO CORTO PLAZO A OBREROS</t>
  </si>
  <si>
    <t>PRESTAMO COMERCIAL A OBREROS</t>
  </si>
  <si>
    <t>PRESTAMO COMERCIAL B OBREROS</t>
  </si>
  <si>
    <t>SERV. FUNERARIOS OBREROS OBREROS</t>
  </si>
  <si>
    <t>APORTE PREST. AFILIADO OBRERO OBREROS</t>
  </si>
  <si>
    <t>DESC. PRESTAMOS OBREROS OBREROS</t>
  </si>
  <si>
    <t>FONDO NAVIDEÑO OBREROS</t>
  </si>
  <si>
    <t>POLIZA OBREROS</t>
  </si>
  <si>
    <t>FINANCIAMIENTO BANCARIO OBREROS</t>
  </si>
  <si>
    <t>PRESTAMO LARGO PLAZO OBREROS</t>
  </si>
  <si>
    <t>PRESTAMOS A LARGO PLAZO OBREROS</t>
  </si>
  <si>
    <t>PRESTAMO MEDIANO PLAZO B OBREROS</t>
  </si>
  <si>
    <t>VEHICULOS OBREROS</t>
  </si>
  <si>
    <t>DCTOS. COMBOS ALIMENTARIOS OBREROS</t>
  </si>
  <si>
    <t>DESC. CREDITO HIPOTECARIO OBREROS</t>
  </si>
  <si>
    <t>DCTO. PAGO INDEB. GUARD. OBREROS</t>
  </si>
  <si>
    <t>ASISTENCIAL CAJA DE AHORRO OBREROS</t>
  </si>
  <si>
    <t>MONTEPIO OBREROS</t>
  </si>
  <si>
    <t>PENSION ALIMENTICIA OBREROS</t>
  </si>
  <si>
    <t>RETROAC. PENSION ALIMENTICIA OBREROS</t>
  </si>
  <si>
    <t>REINT. COBRO INDEB. OBREROS OBREROS</t>
  </si>
  <si>
    <t>SERV. INTEGRAL PREVI. AMANECER OBREROS</t>
  </si>
  <si>
    <t>PENSION ALIMENTICIA DESCUENTO OBREROS</t>
  </si>
  <si>
    <t>DESCUENTO PRIMA POR HIJO TRAB. OBREROS</t>
  </si>
  <si>
    <t>DESC. UTILES POR TRIBUNAL OBREROS</t>
  </si>
  <si>
    <t>PENSION ALIMENT. BONO VACACIONAL OBREROS</t>
  </si>
  <si>
    <t>PENSION ALIM. NONIFESP. SEPT. OBREROS</t>
  </si>
  <si>
    <t>PENSION ALIMENTICIA II OBREROS</t>
  </si>
  <si>
    <t>REINTEGRO COBRO INDEBIDOBONO VACAC DIF. DE SUELDO OBREROS</t>
  </si>
  <si>
    <t>DESCUENTOS DIA NO LABORADO OBREROS</t>
  </si>
  <si>
    <t>REINT. PAGO INDEB. HORAS EXTRAS OBREROS</t>
  </si>
  <si>
    <t>RETROACTIVO PENSION ALIMENTICIA OBREROS</t>
  </si>
  <si>
    <t>REINT. COBRO INDEB. DIA FERIADO OBREROS</t>
  </si>
  <si>
    <t>RETROAC. DESC. BECA POR TRIBUNAL OBREROS</t>
  </si>
  <si>
    <t>REINT. POR REPOSO EXTEMPORANEO OBREROS</t>
  </si>
  <si>
    <t>REINT. RETR. AUMENTO SUELDO OBREROS</t>
  </si>
  <si>
    <t>DESCUENTOS DE PRODUCTOS OBREROS</t>
  </si>
  <si>
    <t>REINTEGRO COBRO INDEBIDO OBREROS</t>
  </si>
  <si>
    <t>RIFA OBREROS</t>
  </si>
  <si>
    <t>DESCT. UTILES ESCOLARES PENSION JUBILADOS</t>
  </si>
  <si>
    <t>DEST. RETRO AHORRO JUB. JUBILADOS</t>
  </si>
  <si>
    <t>MONTEPIO DESC. SOBREVIVIENTES JUBILADOS</t>
  </si>
  <si>
    <t>DESC. POLIZA H.C.M. JUBILADOS</t>
  </si>
  <si>
    <t>PENS. ALIMENTCION I JUBILADOS</t>
  </si>
  <si>
    <t>REINT. COBRO INDEB. JUBILADOS JUBILADOS</t>
  </si>
  <si>
    <t>DESC. JUBIL. PENS. JUBILADOS</t>
  </si>
  <si>
    <t>PREVENCION FAMILIAR JUBILADOS</t>
  </si>
  <si>
    <t>PREST. CORTO PLAZO JUB. PENS. JUBILADOS</t>
  </si>
  <si>
    <t>PREST. MEDIANO PLAZO JUBILADOS</t>
  </si>
  <si>
    <t>PRESTAMO LINEA BLANCA JUBILADOS</t>
  </si>
  <si>
    <t>PREST. ESPECIAL DESC. JUBIL. JUBILADOS</t>
  </si>
  <si>
    <t>PREST. POR JAMONES JUBILADOS</t>
  </si>
  <si>
    <t>PREST. POR JUGUETES JUBILADOS</t>
  </si>
  <si>
    <t>PREST. POR PROVEEDURIA JUBILADOS</t>
  </si>
  <si>
    <t>PREST. SERV. MEDICO JUBILADOS</t>
  </si>
  <si>
    <t>PLAN VACAC. CATJOAMLDC JUBILADOS</t>
  </si>
  <si>
    <t>DESC.  UTILES ESCOLARES JUBILADOS</t>
  </si>
  <si>
    <t>SERV. INTEGRAL PREV. AMANECER JUBILADOS</t>
  </si>
  <si>
    <t>PREST. MEDIANO CORTO PLAZO JUBILADOS</t>
  </si>
  <si>
    <t>DESCUENTO H.C.M. JUBILADOS</t>
  </si>
  <si>
    <t>IPASME DESC. APORTE JUB. JUBILADOS</t>
  </si>
  <si>
    <t>DESCUENTOS IPASME JUBILADOS</t>
  </si>
  <si>
    <t>DESC. JUBILADO PENSIONADO JUBILADOS</t>
  </si>
  <si>
    <t>GIRO ESPEC. ADQUIS VEHICULO JUBILADOS</t>
  </si>
  <si>
    <t>DESCUENTO MONTEPIO JUBILADOS</t>
  </si>
  <si>
    <t>DESCUENTO T.O JUBILADOS</t>
  </si>
  <si>
    <t>DESC. JUBILADO/PENSIONADO JUBILADOS</t>
  </si>
  <si>
    <t>PRESTAMO ESPECIAL JUBILADOS</t>
  </si>
  <si>
    <t>PENSION ALIMENT. AGUINALDOS JUBILADOS</t>
  </si>
  <si>
    <t>PARCELA JUBILDOS CFULCAML JUBILADOS</t>
  </si>
  <si>
    <t>HIPOTECARIO JUBILADOS JUBILADOS</t>
  </si>
  <si>
    <t>POLIZA JUBILADOS JUBILADOS</t>
  </si>
  <si>
    <t>DESC. MICROCREDITO JUBILADOS</t>
  </si>
  <si>
    <t>DESC, LARGO PLAZO JUBILADOS</t>
  </si>
  <si>
    <t>DCTO. POLIZA PREVISORA JUBILADOS JUBILADOS</t>
  </si>
  <si>
    <t>DCTO. DE AHORRO JUBI JUBILADOS</t>
  </si>
  <si>
    <t>REINTEGRO AUMENTO SUELDO JUBILADOS</t>
  </si>
  <si>
    <t>PREST. JUB. CAENSUMATMBL JUBILADOS</t>
  </si>
  <si>
    <t>PRESTAMO A CORTO PLAZO JUBILADOS</t>
  </si>
  <si>
    <t>SERVICIO ODONTOLOGICO JUBILADOS</t>
  </si>
  <si>
    <t>FONDO NAVIDEÑO JUBILADOS</t>
  </si>
  <si>
    <t>AJUPENPOL APORTE TRABAJADOR JUBILADOS</t>
  </si>
  <si>
    <t>DESCUENTO AUJPMLDC JUBILADOS</t>
  </si>
  <si>
    <t>ASISTENCIA JUBILDOS JUBILADOS</t>
  </si>
  <si>
    <t>PREST. LARGO PLAZO B EMPLEADOS</t>
  </si>
  <si>
    <t>PRESTAMO TARJETA CREDITO EMPLEADOS</t>
  </si>
  <si>
    <t>PRESTAMO ESPECIAL CAJA DE EMPLEADOS</t>
  </si>
  <si>
    <t>PRESTAMO PROVEEDURIA EMPLEADOS</t>
  </si>
  <si>
    <t>PRESTAMO ADQUISICION DE N. EMPLEADOS</t>
  </si>
  <si>
    <t>.DESC. INTERESES SOBRE PREST. EMPLEADOS</t>
  </si>
  <si>
    <t>REINT. PAGO INDEB. DIF. SUELDO ENCARG. EMPLEADOS</t>
  </si>
  <si>
    <t>REINT. COBRO INDEB. PRIMA ANT. EMPLEADOS</t>
  </si>
  <si>
    <t>DESCUENTOS DE PRODUCTOS DESCUENTOS DE PRODUCTOS 22</t>
  </si>
  <si>
    <t>RETENCIONES LABORALES POR PAGAR AL INSTITUTO VENEZOLANO DE LOS SEGUROS SOCIALES (IVSS) AL PERSONAL CONTRATADO</t>
  </si>
  <si>
    <t>APORTES PATRONALES POR PAGAR AL INSTITUTO VENEZOLANO DE LOS SEGUROS SOCIALES (IVSS) DEL PERSONAL CONTRATADO</t>
  </si>
  <si>
    <t>RETENCIONES LABORALES POR PAGAR AL REGIMEN PRESTACIONAL DE EMPLEO AL PERSONAL CONTRATADO</t>
  </si>
  <si>
    <t>APORTES POR PAGAR AL REGIMEN PRESTACIONAL DE EMPLEO AL PERSONAL CONTRATADO</t>
  </si>
  <si>
    <t>RETENCIONES LABORALES POR PAGAR AL FONDO DE AHORRO HABITACIONAL DEL PERSONAL CONTRATADO</t>
  </si>
  <si>
    <t>APORTES PATRONALES POR PAGAR AL FONDO DE AHORRO HABITACIONAL DEL  PERSONAL CONTRATADOS</t>
  </si>
  <si>
    <t>RETENCIONES LABORALES POR PAGAR AL INSTITUTO NACIONAL DE CAPACITACION Y EDUCACION SOCIALISTA (INCES) DEL PERSONAL CONTRATADO</t>
  </si>
  <si>
    <t>APORTE PATRONAL POR PAGAR AL INSTITUTO NACIONAL DE CAPACITACION Y EDUCACION SOCIALISTA (INCES) DEL PERSONAL CONTRATADO</t>
  </si>
  <si>
    <t>RETENCIONES LABORALES POR PAGAR AL FONDO DE JUBILACIONES DEL PERSONAL CONTRATADO</t>
  </si>
  <si>
    <t>APORTE PATRONAL POR PAGAR AL FONDO DE JUBILACIONES DEL PERSONAL CONTRATADO</t>
  </si>
  <si>
    <t>CAEMSUMATMBL APORTE TRABAJADOR CONTRATADO</t>
  </si>
  <si>
    <t>CAEMSUMATMBL PRESTAMOS CONTRATADO</t>
  </si>
  <si>
    <t>CAFUALCAML PRESTAMO CONTRATADOS</t>
  </si>
  <si>
    <t>CAFUALCAML APORTE TRABAJADOR CONTRATADOS</t>
  </si>
  <si>
    <t>CAMUBOL APORTE TRABAJADOR CONTRATADOS</t>
  </si>
  <si>
    <t>CAMUBOL PRESTAMO CONTRATADOS</t>
  </si>
  <si>
    <t>CAPREPROSERPUAMBL APORTE TRABAJADOR CONTRATADOS</t>
  </si>
  <si>
    <t>CAPREPROSERPUAMBL PRESTAMO CONTRATADOS</t>
  </si>
  <si>
    <t>CAPSTECAAMLDMC APORTE TRABAJADOR CONTRATADOS</t>
  </si>
  <si>
    <t>CAPSTECAAMLDMC PRESTAMO CONTRATADOS</t>
  </si>
  <si>
    <t>CATJPAMLDC APORTE TRABAJADOR CONTRATADOS</t>
  </si>
  <si>
    <t>CATJPAMLDC PRESTAMO CONTRATADOS</t>
  </si>
  <si>
    <t>DEPOSITO DE TERCEROS CONTRATADOS</t>
  </si>
  <si>
    <t>REINT. COBRO INDEB. 30% COMP.</t>
  </si>
  <si>
    <t>DCTO. DIA DE REP. EXTEMP. CONTRAT.</t>
  </si>
  <si>
    <t>INASISTENCIA INJUSTIFICADA</t>
  </si>
  <si>
    <t>REINT. AUMENTO 15% SAL. MIN.</t>
  </si>
  <si>
    <t>REINT. AUM. SUELDO 15% 2012</t>
  </si>
  <si>
    <t>REINT. AUMENT. 10% SAL. MIN</t>
  </si>
  <si>
    <t>REINT. COBRO INDEB. HONOR.</t>
  </si>
  <si>
    <t>REINT. PAGO INDEB. BONO VAC.</t>
  </si>
  <si>
    <t>REINTEGRO PAGO INDEBIDO</t>
  </si>
  <si>
    <t>DESCUENTO BONO DE RESPONSABILIDAD</t>
  </si>
  <si>
    <t>PREST. SERV. MED. ODONTOLOGICO</t>
  </si>
  <si>
    <t>REINTEGRO BONO VACACIONAL</t>
  </si>
  <si>
    <t>REINTEGRO BONO DE RESPONSABILIDAD</t>
  </si>
  <si>
    <t>REINT. COBRO AUM. SUELDO</t>
  </si>
  <si>
    <t>REINT. AUMENTO CONT.</t>
  </si>
  <si>
    <t>REINT. AUMENTO CONT. JULIO</t>
  </si>
  <si>
    <t>REINT. AUMENT. 20 SALAR.</t>
  </si>
  <si>
    <t>REINT. AUMENTO DE SUELDO 50%</t>
  </si>
  <si>
    <t>MISCELANEOS</t>
  </si>
  <si>
    <t>FERIA NAVIDEÃ‘A CONTRATADOS</t>
  </si>
  <si>
    <t>GIRO ESPECIAL AGUINALDO</t>
  </si>
  <si>
    <t>REINTEGRO COMPENS.</t>
  </si>
  <si>
    <t>REINT. OTRAS COMPENS.</t>
  </si>
  <si>
    <t>REINTEGRO PRIMA PROTECCION DEL HOGAR</t>
  </si>
  <si>
    <t>DCTOS. COMBOS ALIMENTARIOS</t>
  </si>
  <si>
    <t>RETROACT. PENSION ALIMENT. PERS.</t>
  </si>
  <si>
    <t>REINT. COBRO INDEB. SUELDO</t>
  </si>
  <si>
    <t>DESC. UTILES ESCOLARES TRIB. PERS.</t>
  </si>
  <si>
    <t>DESC. JUGUETES POR TRIBUNAL</t>
  </si>
  <si>
    <t>REINT. PAGO INDEBIDO DIAS FERIADO</t>
  </si>
  <si>
    <t>DCTO. DIA DE PERMISO CONTRATADOS</t>
  </si>
  <si>
    <t>REINT. PAGO INDEB. DIA FERIADO</t>
  </si>
  <si>
    <t>DESC. INT. SOBRE PREST.</t>
  </si>
  <si>
    <t>RETROACT. SERV. AMANECER</t>
  </si>
  <si>
    <t>DESCUENTOS PRODUCTOS</t>
  </si>
  <si>
    <t>DEPOSITOS DE TERCEROS ALTO NIVEL</t>
  </si>
  <si>
    <t>REINT. PAGO INB. DIF.SUELDO</t>
  </si>
  <si>
    <t>REINT. PAGO IND. DIF. SUELDO</t>
  </si>
  <si>
    <t>REINT. PAGO INDEB. DIF. SUELDO</t>
  </si>
  <si>
    <t>REINT. COBRO INDEB. DIF. SUELDO</t>
  </si>
  <si>
    <t>REINT. PAGO INDEB. AYUDA HIJO</t>
  </si>
  <si>
    <t>DCTO DIAS REPOSOS</t>
  </si>
  <si>
    <t>AML INASISTENCIA INJUSTIF. EMP.</t>
  </si>
  <si>
    <t>REINT. PAGO INDEB. POST GRADO</t>
  </si>
  <si>
    <t>REINT. DIF. SALARIO MINIMO AMBL</t>
  </si>
  <si>
    <t>REINT. PAGO INDEB. COMPENSACION</t>
  </si>
  <si>
    <t>REINT. PAGO INDEB. COMO ALTO NIVEL</t>
  </si>
  <si>
    <t>REINT. DESC. SUELDO POR COMISION</t>
  </si>
  <si>
    <t>DCTO. SUELDO POR COMISION PERS.</t>
  </si>
  <si>
    <t>REINTEGRO COBRO INDEBIDO</t>
  </si>
  <si>
    <t>REINT. COBRO INBEB. AGUINALDOS</t>
  </si>
  <si>
    <t>REINT. COBRO INDEBIDO AUMENTO</t>
  </si>
  <si>
    <t>REINT. AUMT. MAYO ALTO NIVEL</t>
  </si>
  <si>
    <t>REINT. AUMT. JULIO ALTO NIVEL</t>
  </si>
  <si>
    <t>ALCALDIA REINT. GTOS. OFIC.</t>
  </si>
  <si>
    <t>S.S.O TIEMPO OMITIDO S.S.O</t>
  </si>
  <si>
    <t>LINEA BLANCA</t>
  </si>
  <si>
    <t>AHORRO VOLUNTARIO</t>
  </si>
  <si>
    <t>RETENCIONES LABORALES POR PAGAR AL REGIMEN PRESTACIONAL DE EMPLEO AL PERSONAL DIRECCION Y CONFIANZA</t>
  </si>
  <si>
    <t>APORTES POR PAGAR AL REGIMEN PRESTACIONAL DE EMPLEO AL PERSONAL DIRECCION Y CONFIANZA</t>
  </si>
  <si>
    <t>RETENCIONES LABORALES POR PAGAR AL INSTITUTO VENEZOLANO DE LOS SEGUROS SOCIALES (IVSS) AL PERSONAL DIRECCION Y CONFIANZA</t>
  </si>
  <si>
    <t>APORTES PATRONALES POR PAGAR AL INSTITUTO VENEZOLANO DE LOS SEGUROS SOCIALES (IVSS) AL PERSONAL DIRECCION Y CONFIANZA</t>
  </si>
  <si>
    <t>RETENCIONES LABORALES POR PAGAR AL FONDO DE AHORRO HABITACIONAL DEL PERSONAL DIRECCION Y CONFIANZA</t>
  </si>
  <si>
    <t>APORTES PATRONALES POR PAGAR AL FONDO DE AHORRO HABITACIONAL DEL  PERSONAL DIRECCION Y CONFIANZA</t>
  </si>
  <si>
    <t>CAEMSUMATMBL APORTE TRABAJADOR DIRECCION Y CONFIANZA</t>
  </si>
  <si>
    <t>CAEMSUMATMBL PRESTAMOS DIRECCION Y CONFIANZA</t>
  </si>
  <si>
    <t>CAFUALCAML APORTE TRABAJADOR DIRECCION Y CONFIANZA</t>
  </si>
  <si>
    <t>CAFUALCAML PRESTAMO DIRECCION Y CONFIANZA</t>
  </si>
  <si>
    <t>CAMUBOL APORTE TRABAJADOR DIRECCION Y CONFIANZA</t>
  </si>
  <si>
    <t>CAMUBOL PRESTAMO DIRECCION Y CONFIANZA</t>
  </si>
  <si>
    <t>CAPREPROSERPUAMBL APORTE TRABAJADOR DIRECCION Y CONFIANZA</t>
  </si>
  <si>
    <t>CAPREPROSERPUAMBL PRESTAMO DIRECCION Y CONFIANZA</t>
  </si>
  <si>
    <t>2-1-0-13-30-10</t>
  </si>
  <si>
    <t>CAPSTECAAMLDMC APORTE TRABAJADOR DIRECCION Y CONFIANZA</t>
  </si>
  <si>
    <t>CAPSTECAAMLDMC PRESTAMO DIRECCION Y CONFIANZA</t>
  </si>
  <si>
    <t>CATJPAMLDC APORTE TRABAJADOR DIRECCION Y CONFIANZA</t>
  </si>
  <si>
    <t>CATJPAMLDC PRESTAMO DIRECCION Y CONFIANZA</t>
  </si>
  <si>
    <t>OBLIGACIONES APROBADAS POR CAMARA</t>
  </si>
  <si>
    <t>GOBERNACION DEL DISTRITO FEDERAL</t>
  </si>
  <si>
    <t>PASIVO LABORAL CONTRATADO</t>
  </si>
  <si>
    <t>PASIVO LABORAL EMP. ADMINISTRATIVO</t>
  </si>
  <si>
    <t>PASIVO LABORAL ALTO NIVEL</t>
  </si>
  <si>
    <t>PASIVO LABORAL OBRERO</t>
  </si>
  <si>
    <t>CONSEJOS COMUNALES AÃ‘OS</t>
  </si>
  <si>
    <t>NOMINAS Y OTRAS REMUN. DEUDA</t>
  </si>
  <si>
    <t>OBRAS AÃ‘OS ANTERIORES</t>
  </si>
  <si>
    <t>DEUDAS COMPROMISO PROVEEDORES</t>
  </si>
  <si>
    <t>DEUDA ALCALDIA MAYOR</t>
  </si>
  <si>
    <t>RESERVA ACT. DUDOSO. OTROS ACT.</t>
  </si>
  <si>
    <t>RESERVA PARA ACTIVOS DUDOSOS</t>
  </si>
  <si>
    <t>INGRESOS</t>
  </si>
  <si>
    <t>INGRESO DE LA HACIENDA</t>
  </si>
  <si>
    <t>CUENTA DE INGRESOS</t>
  </si>
  <si>
    <t>INGRESOS ORDINARIOS</t>
  </si>
  <si>
    <t>IMPUESTO INDIRECTOS SUMAT</t>
  </si>
  <si>
    <t>INMUEBLES URBANOS</t>
  </si>
  <si>
    <t>ESPECTACULOS PUBLICOS</t>
  </si>
  <si>
    <t>INDUSTRIA Y COMERCIO</t>
  </si>
  <si>
    <t>PROPAGANDA COMERCIAL</t>
  </si>
  <si>
    <t>PATENTE VEHICULOS</t>
  </si>
  <si>
    <t>DEUDA MOROSA</t>
  </si>
  <si>
    <t>PORCENTAJE S/APUESTAS LICITAS</t>
  </si>
  <si>
    <t>INGRESOS DE LA PROPIEDAD</t>
  </si>
  <si>
    <t>ARRENDAMIENTO DE BIENES</t>
  </si>
  <si>
    <t>TASAS INGRESOS NO TRIBUTARIOS</t>
  </si>
  <si>
    <t>CEMENTERIOS</t>
  </si>
  <si>
    <t>CERTIFICACION Y REGISTRO</t>
  </si>
  <si>
    <t>PERMISOS MUNICIPALES</t>
  </si>
  <si>
    <t>MULTAS Y RECARGOS</t>
  </si>
  <si>
    <t>INGRESOS RECAUDACION Y COBRO</t>
  </si>
  <si>
    <t>REINTEGRO DE CUENTADANTES</t>
  </si>
  <si>
    <t>INGRESOS NOTAS DE CREDITOS POR CREDITOS DIRECTOS SEGÚN ESTADOS DE CUENTAS</t>
  </si>
  <si>
    <t>CUENTA RECAUDAD. ASEO URBANO</t>
  </si>
  <si>
    <t>CUENTA RECAUDAD. SERDECO</t>
  </si>
  <si>
    <t>INGRESOS INTERESES CTA AHORRO</t>
  </si>
  <si>
    <t>INGRESOS VARIOS</t>
  </si>
  <si>
    <t>LEGALIZACIÓN</t>
  </si>
  <si>
    <t>INGRESOS DEL SITUADO MUNICIPAL</t>
  </si>
  <si>
    <t>REINTEGROS VARIOS</t>
  </si>
  <si>
    <t>INGRESOS ADJUDICACION DE CUENTA</t>
  </si>
  <si>
    <t>ING FONDO COMP. INTERTERRITORIAL</t>
  </si>
  <si>
    <t>ING. CRED. ADIC. VIA BCV</t>
  </si>
  <si>
    <t>VENTA GACETAS/FORMULARIOS</t>
  </si>
  <si>
    <t>INGRESOS NO TRIBUTARIOS</t>
  </si>
  <si>
    <t>REINTEGROS ENTES DESCENTRALIZADOS</t>
  </si>
  <si>
    <t>REINTEGRO POLIZA HCM</t>
  </si>
  <si>
    <t>REINTEGRO PAGOS INDEBIDOS</t>
  </si>
  <si>
    <t>INGRESOS EXTRAORDINARIOS</t>
  </si>
  <si>
    <t>GASTOS</t>
  </si>
  <si>
    <t>GASTO PRESUPUESTARIOS</t>
  </si>
  <si>
    <t>GASTOS CAUSADOS</t>
  </si>
  <si>
    <t>GASTOS CAUSADOS FIDEICOMISOS</t>
  </si>
  <si>
    <t>GASTOS ENTES CENTRALIZADOS</t>
  </si>
  <si>
    <t>GASTOS ENTES DESCENTRALIZADOS</t>
  </si>
  <si>
    <t>GASTOS  O/P DIRECTAS</t>
  </si>
  <si>
    <t>GASTOS RETENCION IVA</t>
  </si>
  <si>
    <t>GASTOS ADM. CESTA TICKETS</t>
  </si>
  <si>
    <t>GASTOS RETENCION ISRL BCV</t>
  </si>
  <si>
    <t>GASTOS RETENC. IMPUESTO MCPAL</t>
  </si>
  <si>
    <t>GASTO RETENCION TIMBRE FISCAL</t>
  </si>
  <si>
    <t>GASTOS APORTE RESPONSABILIDAD SOCIAL</t>
  </si>
  <si>
    <t>GASTO APORTE CONSEJOS COMUNALES</t>
  </si>
  <si>
    <t>GASTOS COMPRA DIVISAS</t>
  </si>
  <si>
    <t>RETENCIONES DEL IMPUESTO DE DISTRITO CAPITAL</t>
  </si>
  <si>
    <t>LIQUIDACION DEL PRESUPUESTO</t>
  </si>
  <si>
    <t>CUENTA DE GASTO HACIENDA</t>
  </si>
  <si>
    <t>CUENTA DE RESULTADOS DE LA HACIENDA</t>
  </si>
  <si>
    <t>BANCO INTERVERNIDO</t>
  </si>
  <si>
    <t>CUENTA DE ORDEN DE LA HACIENDA</t>
  </si>
  <si>
    <t>BANCO INTERVERNIDO DE LA HACIENDA</t>
  </si>
  <si>
    <t>CUENTA DE ORDEN</t>
  </si>
  <si>
    <t>FONDO EN BANCOS INTERVENIDOS</t>
  </si>
  <si>
    <t>BCO. COM. MBO. CTA. 18070229</t>
  </si>
  <si>
    <t>BND CTA 01-807730</t>
  </si>
  <si>
    <t>BND CTA 01-807781</t>
  </si>
  <si>
    <t>BTV CTA. 001-008789-7</t>
  </si>
  <si>
    <t>BTV CTA. 001-004675-0</t>
  </si>
  <si>
    <t>BTV CTA 001-07324-3</t>
  </si>
  <si>
    <t>LA GUAIRA 00-20323-8</t>
  </si>
  <si>
    <t>LATINO 01039992-4</t>
  </si>
  <si>
    <t>FONDO EN BANCOS INTERV.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</si>
</sst>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10" x14ac:knownFonts="1">
    <font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Verdana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 applyFill="0"/>
  </cellStyleXfs>
  <cellXfs count="4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/>
    <xf numFmtId="1" fontId="6" fillId="7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165" fontId="5" fillId="6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6" fillId="0" borderId="0" xfId="0" applyFont="1" applyFill="1" applyAlignment="1">
      <alignment horizontal="left"/>
    </xf>
    <xf numFmtId="164" fontId="6" fillId="0" borderId="0" xfId="0" applyNumberFormat="1" applyFont="1" applyFill="1" applyAlignment="1">
      <alignment horizontal="center"/>
    </xf>
    <xf numFmtId="0" fontId="6" fillId="0" borderId="0" xfId="0" applyFont="1" applyFill="1"/>
    <xf numFmtId="0" fontId="1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center"/>
    </xf>
    <xf numFmtId="4" fontId="4" fillId="0" borderId="0" xfId="0" applyNumberFormat="1" applyFont="1" applyAlignment="1">
      <alignment horizontal="right" vertical="center"/>
    </xf>
    <xf numFmtId="4" fontId="0" fillId="0" borderId="0" xfId="0" applyNumberFormat="1"/>
    <xf numFmtId="0" fontId="9" fillId="0" borderId="0" xfId="0" applyFont="1" applyFill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top" wrapText="1"/>
    </xf>
    <xf numFmtId="0" fontId="6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U955"/>
  <sheetViews>
    <sheetView tabSelected="1" topLeftCell="A920" zoomScale="85" zoomScaleNormal="85" workbookViewId="0">
      <selection activeCell="A920" sqref="A920"/>
    </sheetView>
  </sheetViews>
  <sheetFormatPr baseColWidth="10" defaultColWidth="11.5703125" defaultRowHeight="12.75" x14ac:dyDescent="0.2"/>
  <cols>
    <col min="1" max="1" width="4" style="9" bestFit="1" customWidth="1"/>
    <col min="2" max="2" width="36" style="9" customWidth="1"/>
    <col min="3" max="3" width="3.42578125" style="9" customWidth="1"/>
    <col min="4" max="4" width="51.85546875" style="9" bestFit="1" customWidth="1"/>
    <col min="5" max="5" width="4.140625" style="9" customWidth="1"/>
    <col min="6" max="6" width="27.85546875" style="9" customWidth="1"/>
    <col min="7" max="7" width="9.28515625" style="20" customWidth="1"/>
    <col min="8" max="8" width="42.42578125" style="5" bestFit="1" customWidth="1"/>
    <col min="9" max="9" width="4" style="18" customWidth="1"/>
    <col min="10" max="10" width="86.7109375" style="5" customWidth="1"/>
    <col min="11" max="11" width="4.7109375" style="5" bestFit="1" customWidth="1"/>
    <col min="12" max="12" width="54" style="4" bestFit="1" customWidth="1"/>
    <col min="13" max="13" width="21.140625" style="4" bestFit="1" customWidth="1"/>
    <col min="14" max="14" width="50" style="4" bestFit="1" customWidth="1"/>
    <col min="15" max="15" width="9.42578125" style="4" bestFit="1" customWidth="1"/>
    <col min="16" max="16" width="69" style="4" bestFit="1" customWidth="1"/>
    <col min="17" max="17" width="18.7109375" style="4" bestFit="1" customWidth="1"/>
    <col min="18" max="18" width="66.140625" style="4" bestFit="1" customWidth="1"/>
    <col min="19" max="19" width="10.5703125" style="4" customWidth="1"/>
    <col min="20" max="20" width="66.140625" style="4" bestFit="1" customWidth="1"/>
    <col min="21" max="258" width="10.5703125" style="4" customWidth="1"/>
    <col min="259" max="16384" width="11.5703125" style="4"/>
  </cols>
  <sheetData>
    <row r="2" spans="1:21" x14ac:dyDescent="0.2">
      <c r="A2" s="39" t="s">
        <v>0</v>
      </c>
      <c r="B2" s="39"/>
      <c r="C2" s="40" t="s">
        <v>78</v>
      </c>
      <c r="D2" s="40"/>
      <c r="E2" s="41" t="s">
        <v>77</v>
      </c>
      <c r="F2" s="41"/>
      <c r="G2" s="42" t="s">
        <v>80</v>
      </c>
      <c r="H2" s="42"/>
      <c r="I2" s="43" t="s">
        <v>79</v>
      </c>
      <c r="J2" s="43"/>
      <c r="K2" s="12" t="s">
        <v>8</v>
      </c>
      <c r="L2" s="12"/>
      <c r="M2" s="38" t="s">
        <v>511</v>
      </c>
      <c r="N2" s="38"/>
      <c r="O2" s="38" t="s">
        <v>30</v>
      </c>
      <c r="P2" s="38"/>
    </row>
    <row r="3" spans="1:21" x14ac:dyDescent="0.2">
      <c r="A3" s="1" t="s">
        <v>1</v>
      </c>
      <c r="B3" s="1" t="s">
        <v>2</v>
      </c>
      <c r="C3" s="2" t="s">
        <v>1</v>
      </c>
      <c r="D3" s="2" t="s">
        <v>2</v>
      </c>
      <c r="E3" s="3" t="s">
        <v>1</v>
      </c>
      <c r="F3" s="3" t="s">
        <v>2</v>
      </c>
      <c r="G3" s="19" t="s">
        <v>1</v>
      </c>
      <c r="H3" s="10" t="s">
        <v>2</v>
      </c>
      <c r="I3" s="17" t="s">
        <v>1</v>
      </c>
      <c r="J3" s="11" t="s">
        <v>2</v>
      </c>
      <c r="K3" s="13" t="s">
        <v>1</v>
      </c>
      <c r="L3" s="12" t="s">
        <v>2</v>
      </c>
      <c r="M3" s="4" t="s">
        <v>57</v>
      </c>
      <c r="N3" s="12" t="s">
        <v>510</v>
      </c>
      <c r="O3" s="13" t="s">
        <v>1</v>
      </c>
      <c r="P3" s="12" t="s">
        <v>2</v>
      </c>
      <c r="Q3" s="4" t="s">
        <v>57</v>
      </c>
      <c r="R3" s="12" t="s">
        <v>510</v>
      </c>
      <c r="S3" s="4" t="str">
        <f>CONCATENATE(TEXT(LEFT(G3,2),"00"),"-",TEXT(RIGHT(G3,1),"0"))</f>
        <v>co-d</v>
      </c>
    </row>
    <row r="4" spans="1:21" x14ac:dyDescent="0.2">
      <c r="A4" s="1">
        <v>1</v>
      </c>
      <c r="B4" s="6" t="str">
        <f>VLOOKUP(A4,'ACTIVOS CODIGO'!A:B,2,0)</f>
        <v>ACTIVO</v>
      </c>
      <c r="C4" s="24"/>
      <c r="D4" s="24"/>
      <c r="E4" s="24"/>
      <c r="F4" s="24"/>
      <c r="G4" s="19">
        <v>0</v>
      </c>
      <c r="H4" s="25"/>
      <c r="I4" s="26"/>
      <c r="J4" s="27"/>
      <c r="K4" s="22"/>
      <c r="L4" s="27"/>
      <c r="M4" s="27" t="str">
        <f>CONCATENATE(TEXT(A4,"0"),"-",TEXT(C4,"0"),"-",TEXT(E4,"0"),"-",TEXT(LEFT(G4,2),"00"),"-",TEXT(RIGHT(G4,1),"0"),TEXT(I4,"0"),"-",TEXT(K4,"00"))</f>
        <v>1-0-0-00-00-00</v>
      </c>
      <c r="N4" s="27" t="str">
        <f>IF(L4="",IF(J4="",IF(H4="",IF(F4="",IF(D4="",B4,D4),F4),H4),J4),L4)</f>
        <v>ACTIVO</v>
      </c>
      <c r="O4" s="4">
        <f t="shared" ref="O4:O67" si="0">IF(P4="",0,IF(M3=M4,IF(O3="",0,O3)+1,""))</f>
        <v>0</v>
      </c>
      <c r="P4" s="27"/>
      <c r="Q4" s="4" t="str">
        <f>CONCATENATE(TEXT(A4,"0"),"-",TEXT(C4,"0"),"-",TEXT(E4,"0"),"-",TEXT(LEFT(G4,2),"00"),"-",TEXT(RIGHT(G4,1),"0"),TEXT(I4,"0"),"-",TEXT(K4,"00"),"-",TEXT(O4,"000"))</f>
        <v>1-0-0-00-00-00-000</v>
      </c>
      <c r="R4" s="4" t="str">
        <f t="shared" ref="R4:R67" si="1">IF(P4="",IF(L4="",IF(J4="",IF(H4="",IF(F4="",IF(D4="",B4,D4),F4),H4),J4),L4),P4)</f>
        <v>ACTIVO</v>
      </c>
      <c r="S4" s="4" t="str">
        <f>CONCATENATE(TEXT(LEFT(G4,2),"00"),"-",TEXT(RIGHT(G4,1),"0"))</f>
        <v>00-0</v>
      </c>
    </row>
    <row r="5" spans="1:21" x14ac:dyDescent="0.2">
      <c r="A5" s="1">
        <v>1</v>
      </c>
      <c r="B5" s="6" t="str">
        <f>VLOOKUP(A5,'ACTIVOS CODIGO'!A:B,2,0)</f>
        <v>ACTIVO</v>
      </c>
      <c r="C5" s="2">
        <v>1</v>
      </c>
      <c r="D5" s="7" t="str">
        <f>VLOOKUP(C5,'ACTIVOS CODIGO'!C:D,2,0)</f>
        <v>ACTIVO DEL TESORO = ACTIVO CORRIENTE</v>
      </c>
      <c r="E5" s="24"/>
      <c r="F5" s="24"/>
      <c r="G5" s="19">
        <v>0</v>
      </c>
      <c r="H5" s="25"/>
      <c r="I5" s="26"/>
      <c r="J5" s="27"/>
      <c r="K5" s="22"/>
      <c r="L5" s="27"/>
      <c r="M5" s="27" t="str">
        <f t="shared" ref="M5:M69" si="2">CONCATENATE(TEXT(A5,"0"),"-",TEXT(C5,"0"),"-",TEXT(E5,"0"),"-",TEXT(LEFT(G5,2),"00"),"-",TEXT(RIGHT(G5,1),"0"),TEXT(I5,"0"),"-",TEXT(K5,"00"))</f>
        <v>1-1-0-00-00-00</v>
      </c>
      <c r="N5" s="27" t="str">
        <f t="shared" ref="N5:N69" si="3">IF(L5="",IF(J5="",IF(H5="",IF(F5="",IF(D5="",B5,D5),F5),H5),J5),L5)</f>
        <v>ACTIVO DEL TESORO = ACTIVO CORRIENTE</v>
      </c>
      <c r="O5" s="4">
        <f t="shared" si="0"/>
        <v>0</v>
      </c>
      <c r="P5" s="27"/>
      <c r="Q5" s="4" t="str">
        <f t="shared" ref="Q5:Q68" si="4">CONCATENATE(TEXT(A5,"0"),"-",TEXT(C5,"0"),"-",TEXT(E5,"0"),"-",TEXT(LEFT(G5,2),"00"),"-",TEXT(RIGHT(G5,1),"0"),TEXT(I5,"0"),"-",TEXT(K5,"00"),"-",TEXT(O5,"000"))</f>
        <v>1-1-0-00-00-00-000</v>
      </c>
      <c r="R5" s="4" t="str">
        <f t="shared" si="1"/>
        <v>ACTIVO DEL TESORO = ACTIVO CORRIENTE</v>
      </c>
      <c r="S5" s="4" t="str">
        <f>CONCATENATE(TEXT(LEFT(G5,2),"00"),"-",TEXT(RIGHT(G5,1),"0"))</f>
        <v>00-0</v>
      </c>
      <c r="T5" s="4" t="s">
        <v>4</v>
      </c>
      <c r="U5" s="4" t="s">
        <v>158</v>
      </c>
    </row>
    <row r="6" spans="1:21" x14ac:dyDescent="0.2">
      <c r="A6" s="1">
        <v>1</v>
      </c>
      <c r="B6" s="6" t="str">
        <f>VLOOKUP(A6,'ACTIVOS CODIGO'!A:B,2,0)</f>
        <v>ACTIVO</v>
      </c>
      <c r="C6" s="2">
        <v>1</v>
      </c>
      <c r="D6" s="7" t="str">
        <f>VLOOKUP(C6,'ACTIVOS CODIGO'!C:D,2,0)</f>
        <v>ACTIVO DEL TESORO = ACTIVO CORRIENTE</v>
      </c>
      <c r="E6" s="3">
        <v>1</v>
      </c>
      <c r="F6" s="8" t="str">
        <f>VLOOKUP(E6,'ACTIVOS CODIGO'!E:F,2,0)</f>
        <v>ACTIVO DISPONIBLE</v>
      </c>
      <c r="G6" s="19">
        <v>0</v>
      </c>
      <c r="H6" s="25"/>
      <c r="I6" s="26"/>
      <c r="J6" s="27"/>
      <c r="K6" s="22"/>
      <c r="L6" s="27"/>
      <c r="M6" s="27" t="str">
        <f t="shared" si="2"/>
        <v>1-1-1-00-00-00</v>
      </c>
      <c r="N6" s="27" t="str">
        <f t="shared" si="3"/>
        <v>ACTIVO DISPONIBLE</v>
      </c>
      <c r="O6" s="4">
        <f t="shared" si="0"/>
        <v>0</v>
      </c>
      <c r="P6" s="27"/>
      <c r="Q6" s="4" t="str">
        <f t="shared" si="4"/>
        <v>1-1-1-00-00-00-000</v>
      </c>
      <c r="R6" s="4" t="str">
        <f t="shared" si="1"/>
        <v>ACTIVO DISPONIBLE</v>
      </c>
      <c r="S6" s="4" t="str">
        <f>CONCATENATE(TEXT(LEFT(G6,2),"00"),"-",TEXT(RIGHT(G6,1),"0"))</f>
        <v>00-0</v>
      </c>
    </row>
    <row r="7" spans="1:21" x14ac:dyDescent="0.2">
      <c r="A7" s="1">
        <v>1</v>
      </c>
      <c r="B7" s="6" t="str">
        <f>VLOOKUP(A7,'ACTIVOS CODIGO'!A:B,2,0)</f>
        <v>ACTIVO</v>
      </c>
      <c r="C7" s="2">
        <v>1</v>
      </c>
      <c r="D7" s="7" t="str">
        <f>VLOOKUP(C7,'ACTIVOS CODIGO'!C:D,2,0)</f>
        <v>ACTIVO DEL TESORO = ACTIVO CORRIENTE</v>
      </c>
      <c r="E7" s="3">
        <v>1</v>
      </c>
      <c r="F7" s="8" t="str">
        <f>VLOOKUP(E7,'ACTIVOS CODIGO'!E:F,2,0)</f>
        <v>ACTIVO DISPONIBLE</v>
      </c>
      <c r="G7" s="19">
        <v>102</v>
      </c>
      <c r="H7" s="10" t="str">
        <f>VLOOKUP(G7,'PUB 21'!$A$1:$B$29,2,0)</f>
        <v>TESORERIA MUNICIPAL</v>
      </c>
      <c r="I7" s="26"/>
      <c r="J7" s="27"/>
      <c r="K7" s="22"/>
      <c r="L7" s="27"/>
      <c r="M7" s="27" t="str">
        <f t="shared" si="2"/>
        <v>1-1-1-10-20-00</v>
      </c>
      <c r="N7" s="27" t="str">
        <f t="shared" si="3"/>
        <v>TESORERIA MUNICIPAL</v>
      </c>
      <c r="O7" s="4">
        <f t="shared" si="0"/>
        <v>0</v>
      </c>
      <c r="P7" s="27"/>
      <c r="Q7" s="4" t="str">
        <f t="shared" si="4"/>
        <v>1-1-1-10-20-00-000</v>
      </c>
      <c r="R7" s="4" t="str">
        <f t="shared" si="1"/>
        <v>TESORERIA MUNICIPAL</v>
      </c>
      <c r="S7" s="4" t="str">
        <f>CONCATENATE(TEXT(LEFT(G7,2),"00"),"-",TEXT(RIGHT(G7,1),"0"))</f>
        <v>10-2</v>
      </c>
      <c r="T7" s="4" t="s">
        <v>6</v>
      </c>
      <c r="U7" s="4" t="s">
        <v>159</v>
      </c>
    </row>
    <row r="8" spans="1:21" x14ac:dyDescent="0.2">
      <c r="A8" s="1">
        <v>1</v>
      </c>
      <c r="B8" s="6" t="str">
        <f>VLOOKUP(A8,'ACTIVOS CODIGO'!A:B,2,0)</f>
        <v>ACTIVO</v>
      </c>
      <c r="C8" s="2">
        <v>1</v>
      </c>
      <c r="D8" s="7" t="str">
        <f>VLOOKUP(C8,'ACTIVOS CODIGO'!C:D,2,0)</f>
        <v>ACTIVO DEL TESORO = ACTIVO CORRIENTE</v>
      </c>
      <c r="E8" s="3">
        <v>1</v>
      </c>
      <c r="F8" s="8" t="str">
        <f>VLOOKUP(E8,'ACTIVOS CODIGO'!E:F,2,0)</f>
        <v>ACTIVO DISPONIBLE</v>
      </c>
      <c r="G8" s="19">
        <v>102</v>
      </c>
      <c r="H8" s="10" t="str">
        <f>VLOOKUP(G8,'PUB 21'!$A$1:$B$29,2,0)</f>
        <v>TESORERIA MUNICIPAL</v>
      </c>
      <c r="I8" s="17">
        <v>1</v>
      </c>
      <c r="J8" s="15" t="s">
        <v>7</v>
      </c>
      <c r="K8" s="22"/>
      <c r="L8" s="27"/>
      <c r="M8" s="27" t="str">
        <f t="shared" si="2"/>
        <v>1-1-1-10-21-00</v>
      </c>
      <c r="N8" s="27" t="str">
        <f t="shared" si="3"/>
        <v>BANCOS PUBLICOS Y PRIVADOS</v>
      </c>
      <c r="O8" s="4">
        <f t="shared" si="0"/>
        <v>0</v>
      </c>
      <c r="P8" s="27"/>
      <c r="Q8" s="4" t="str">
        <f t="shared" si="4"/>
        <v>1-1-1-10-21-00-000</v>
      </c>
      <c r="R8" s="4" t="str">
        <f t="shared" si="1"/>
        <v>BANCOS PUBLICOS Y PRIVADOS</v>
      </c>
      <c r="T8" s="4" t="s">
        <v>7</v>
      </c>
      <c r="U8" s="4" t="s">
        <v>159</v>
      </c>
    </row>
    <row r="9" spans="1:21" x14ac:dyDescent="0.2">
      <c r="A9" s="1">
        <v>1</v>
      </c>
      <c r="B9" s="6" t="str">
        <f>VLOOKUP(A9,'ACTIVOS CODIGO'!A:B,2,0)</f>
        <v>ACTIVO</v>
      </c>
      <c r="C9" s="2">
        <v>1</v>
      </c>
      <c r="D9" s="7" t="str">
        <f>VLOOKUP(C9,'ACTIVOS CODIGO'!C:D,2,0)</f>
        <v>ACTIVO DEL TESORO = ACTIVO CORRIENTE</v>
      </c>
      <c r="E9" s="3">
        <v>1</v>
      </c>
      <c r="F9" s="8" t="str">
        <f>VLOOKUP(E9,'ACTIVOS CODIGO'!E:F,2,0)</f>
        <v>ACTIVO DISPONIBLE</v>
      </c>
      <c r="G9" s="19">
        <v>102</v>
      </c>
      <c r="H9" s="10" t="str">
        <f>VLOOKUP(G9,'PUB 21'!$A$1:$B$29,2,0)</f>
        <v>TESORERIA MUNICIPAL</v>
      </c>
      <c r="I9" s="17">
        <v>1</v>
      </c>
      <c r="J9" s="15" t="s">
        <v>7</v>
      </c>
      <c r="K9" s="13">
        <v>1</v>
      </c>
      <c r="L9" s="14" t="s">
        <v>31</v>
      </c>
      <c r="M9" s="27" t="str">
        <f t="shared" si="2"/>
        <v>1-1-1-10-21-01</v>
      </c>
      <c r="N9" s="27" t="str">
        <f t="shared" si="3"/>
        <v>BANCO PUBLICO</v>
      </c>
      <c r="O9" s="4">
        <f t="shared" si="0"/>
        <v>0</v>
      </c>
      <c r="P9" s="21"/>
      <c r="Q9" s="4" t="str">
        <f t="shared" si="4"/>
        <v>1-1-1-10-21-01-000</v>
      </c>
      <c r="R9" s="4" t="str">
        <f t="shared" si="1"/>
        <v>BANCO PUBLICO</v>
      </c>
    </row>
    <row r="10" spans="1:21" x14ac:dyDescent="0.2">
      <c r="A10" s="1">
        <v>1</v>
      </c>
      <c r="B10" s="6" t="str">
        <f>VLOOKUP(A10,'ACTIVOS CODIGO'!A:B,2,0)</f>
        <v>ACTIVO</v>
      </c>
      <c r="C10" s="2">
        <v>1</v>
      </c>
      <c r="D10" s="7" t="str">
        <f>VLOOKUP(C10,'ACTIVOS CODIGO'!C:D,2,0)</f>
        <v>ACTIVO DEL TESORO = ACTIVO CORRIENTE</v>
      </c>
      <c r="E10" s="3">
        <v>1</v>
      </c>
      <c r="F10" s="8" t="str">
        <f>VLOOKUP(E10,'ACTIVOS CODIGO'!E:F,2,0)</f>
        <v>ACTIVO DISPONIBLE</v>
      </c>
      <c r="G10" s="19">
        <v>102</v>
      </c>
      <c r="H10" s="10" t="str">
        <f>VLOOKUP(G10,'PUB 21'!$A$1:$B$29,2,0)</f>
        <v>TESORERIA MUNICIPAL</v>
      </c>
      <c r="I10" s="17">
        <v>1</v>
      </c>
      <c r="J10" s="15" t="s">
        <v>7</v>
      </c>
      <c r="K10" s="13">
        <v>1</v>
      </c>
      <c r="L10" s="14" t="s">
        <v>31</v>
      </c>
      <c r="M10" s="27" t="str">
        <f t="shared" si="2"/>
        <v>1-1-1-10-21-01</v>
      </c>
      <c r="N10" s="27" t="str">
        <f t="shared" si="3"/>
        <v>BANCO PUBLICO</v>
      </c>
      <c r="O10" s="4">
        <f t="shared" si="0"/>
        <v>1</v>
      </c>
      <c r="P10" s="16" t="s">
        <v>9</v>
      </c>
      <c r="Q10" s="4" t="str">
        <f t="shared" si="4"/>
        <v>1-1-1-10-21-01-001</v>
      </c>
      <c r="R10" s="4" t="str">
        <f t="shared" si="1"/>
        <v>I.M.C.P. 0601-0001-24-0014071948</v>
      </c>
    </row>
    <row r="11" spans="1:21" x14ac:dyDescent="0.2">
      <c r="A11" s="1">
        <v>1</v>
      </c>
      <c r="B11" s="6" t="str">
        <f>VLOOKUP(A11,'ACTIVOS CODIGO'!A:B,2,0)</f>
        <v>ACTIVO</v>
      </c>
      <c r="C11" s="2">
        <v>1</v>
      </c>
      <c r="D11" s="7" t="str">
        <f>VLOOKUP(C11,'ACTIVOS CODIGO'!C:D,2,0)</f>
        <v>ACTIVO DEL TESORO = ACTIVO CORRIENTE</v>
      </c>
      <c r="E11" s="3">
        <v>1</v>
      </c>
      <c r="F11" s="8" t="str">
        <f>VLOOKUP(E11,'ACTIVOS CODIGO'!E:F,2,0)</f>
        <v>ACTIVO DISPONIBLE</v>
      </c>
      <c r="G11" s="19">
        <v>102</v>
      </c>
      <c r="H11" s="10" t="str">
        <f>VLOOKUP(G11,'PUB 21'!$A$1:$B$29,2,0)</f>
        <v>TESORERIA MUNICIPAL</v>
      </c>
      <c r="I11" s="17">
        <v>1</v>
      </c>
      <c r="J11" s="15" t="s">
        <v>7</v>
      </c>
      <c r="K11" s="13">
        <v>1</v>
      </c>
      <c r="L11" s="14" t="s">
        <v>31</v>
      </c>
      <c r="M11" s="27" t="str">
        <f t="shared" si="2"/>
        <v>1-1-1-10-21-01</v>
      </c>
      <c r="N11" s="27" t="str">
        <f t="shared" si="3"/>
        <v>BANCO PUBLICO</v>
      </c>
      <c r="O11" s="4">
        <f t="shared" si="0"/>
        <v>2</v>
      </c>
      <c r="P11" s="16" t="s">
        <v>13</v>
      </c>
      <c r="Q11" s="4" t="str">
        <f t="shared" si="4"/>
        <v>1-1-1-10-21-01-002</v>
      </c>
      <c r="R11" s="4" t="str">
        <f t="shared" si="1"/>
        <v>VENEZUELA 0102-0762-200000039709</v>
      </c>
    </row>
    <row r="12" spans="1:21" x14ac:dyDescent="0.2">
      <c r="A12" s="1">
        <v>1</v>
      </c>
      <c r="B12" s="6" t="str">
        <f>VLOOKUP(A12,'ACTIVOS CODIGO'!A:B,2,0)</f>
        <v>ACTIVO</v>
      </c>
      <c r="C12" s="2">
        <v>1</v>
      </c>
      <c r="D12" s="7" t="str">
        <f>VLOOKUP(C12,'ACTIVOS CODIGO'!C:D,2,0)</f>
        <v>ACTIVO DEL TESORO = ACTIVO CORRIENTE</v>
      </c>
      <c r="E12" s="3">
        <v>1</v>
      </c>
      <c r="F12" s="8" t="str">
        <f>VLOOKUP(E12,'ACTIVOS CODIGO'!E:F,2,0)</f>
        <v>ACTIVO DISPONIBLE</v>
      </c>
      <c r="G12" s="19">
        <v>102</v>
      </c>
      <c r="H12" s="10" t="str">
        <f>VLOOKUP(G12,'PUB 21'!$A$1:$B$29,2,0)</f>
        <v>TESORERIA MUNICIPAL</v>
      </c>
      <c r="I12" s="17">
        <v>1</v>
      </c>
      <c r="J12" s="15" t="s">
        <v>7</v>
      </c>
      <c r="K12" s="13">
        <v>1</v>
      </c>
      <c r="L12" s="14" t="s">
        <v>31</v>
      </c>
      <c r="M12" s="27" t="str">
        <f t="shared" si="2"/>
        <v>1-1-1-10-21-01</v>
      </c>
      <c r="N12" s="27" t="str">
        <f t="shared" si="3"/>
        <v>BANCO PUBLICO</v>
      </c>
      <c r="O12" s="4">
        <f t="shared" si="0"/>
        <v>3</v>
      </c>
      <c r="P12" s="16" t="s">
        <v>14</v>
      </c>
      <c r="Q12" s="4" t="str">
        <f t="shared" si="4"/>
        <v>1-1-1-10-21-01-003</v>
      </c>
      <c r="R12" s="4" t="str">
        <f t="shared" si="1"/>
        <v>TESORO 0163-0903-65-9033005695</v>
      </c>
    </row>
    <row r="13" spans="1:21" x14ac:dyDescent="0.2">
      <c r="A13" s="1">
        <v>1</v>
      </c>
      <c r="B13" s="6" t="str">
        <f>VLOOKUP(A13,'ACTIVOS CODIGO'!A:B,2,0)</f>
        <v>ACTIVO</v>
      </c>
      <c r="C13" s="2">
        <v>1</v>
      </c>
      <c r="D13" s="7" t="str">
        <f>VLOOKUP(C13,'ACTIVOS CODIGO'!C:D,2,0)</f>
        <v>ACTIVO DEL TESORO = ACTIVO CORRIENTE</v>
      </c>
      <c r="E13" s="3">
        <v>1</v>
      </c>
      <c r="F13" s="8" t="str">
        <f>VLOOKUP(E13,'ACTIVOS CODIGO'!E:F,2,0)</f>
        <v>ACTIVO DISPONIBLE</v>
      </c>
      <c r="G13" s="19">
        <v>102</v>
      </c>
      <c r="H13" s="10" t="str">
        <f>VLOOKUP(G13,'PUB 21'!$A$1:$B$29,2,0)</f>
        <v>TESORERIA MUNICIPAL</v>
      </c>
      <c r="I13" s="17">
        <v>1</v>
      </c>
      <c r="J13" s="15" t="s">
        <v>7</v>
      </c>
      <c r="K13" s="13">
        <v>1</v>
      </c>
      <c r="L13" s="14" t="s">
        <v>31</v>
      </c>
      <c r="M13" s="27" t="str">
        <f t="shared" si="2"/>
        <v>1-1-1-10-21-01</v>
      </c>
      <c r="N13" s="27" t="str">
        <f t="shared" si="3"/>
        <v>BANCO PUBLICO</v>
      </c>
      <c r="O13" s="4">
        <f t="shared" si="0"/>
        <v>4</v>
      </c>
      <c r="P13" s="16" t="s">
        <v>22</v>
      </c>
      <c r="Q13" s="4" t="str">
        <f t="shared" si="4"/>
        <v>1-1-1-10-21-01-004</v>
      </c>
      <c r="R13" s="4" t="str">
        <f t="shared" si="1"/>
        <v>VENEZUELA 0000059226</v>
      </c>
    </row>
    <row r="14" spans="1:21" x14ac:dyDescent="0.2">
      <c r="A14" s="1">
        <v>1</v>
      </c>
      <c r="B14" s="6" t="str">
        <f>VLOOKUP(A14,'ACTIVOS CODIGO'!A:B,2,0)</f>
        <v>ACTIVO</v>
      </c>
      <c r="C14" s="2">
        <v>1</v>
      </c>
      <c r="D14" s="7" t="str">
        <f>VLOOKUP(C14,'ACTIVOS CODIGO'!C:D,2,0)</f>
        <v>ACTIVO DEL TESORO = ACTIVO CORRIENTE</v>
      </c>
      <c r="E14" s="3">
        <v>1</v>
      </c>
      <c r="F14" s="8" t="str">
        <f>VLOOKUP(E14,'ACTIVOS CODIGO'!E:F,2,0)</f>
        <v>ACTIVO DISPONIBLE</v>
      </c>
      <c r="G14" s="19">
        <v>102</v>
      </c>
      <c r="H14" s="10" t="str">
        <f>VLOOKUP(G14,'PUB 21'!$A$1:$B$29,2,0)</f>
        <v>TESORERIA MUNICIPAL</v>
      </c>
      <c r="I14" s="17">
        <v>1</v>
      </c>
      <c r="J14" s="15" t="s">
        <v>7</v>
      </c>
      <c r="K14" s="13">
        <v>1</v>
      </c>
      <c r="L14" s="14" t="s">
        <v>31</v>
      </c>
      <c r="M14" s="27" t="str">
        <f t="shared" si="2"/>
        <v>1-1-1-10-21-01</v>
      </c>
      <c r="N14" s="27" t="str">
        <f t="shared" si="3"/>
        <v>BANCO PUBLICO</v>
      </c>
      <c r="O14" s="4">
        <f t="shared" si="0"/>
        <v>5</v>
      </c>
      <c r="P14" s="16" t="s">
        <v>25</v>
      </c>
      <c r="Q14" s="4" t="str">
        <f t="shared" si="4"/>
        <v>1-1-1-10-21-01-005</v>
      </c>
      <c r="R14" s="4" t="str">
        <f t="shared" si="1"/>
        <v>I.M.C.P. 0014103444 CTA. GTOS. 2021</v>
      </c>
    </row>
    <row r="15" spans="1:21" x14ac:dyDescent="0.2">
      <c r="A15" s="1">
        <v>1</v>
      </c>
      <c r="B15" s="6" t="str">
        <f>VLOOKUP(A15,'ACTIVOS CODIGO'!A:B,2,0)</f>
        <v>ACTIVO</v>
      </c>
      <c r="C15" s="2">
        <v>1</v>
      </c>
      <c r="D15" s="7" t="str">
        <f>VLOOKUP(C15,'ACTIVOS CODIGO'!C:D,2,0)</f>
        <v>ACTIVO DEL TESORO = ACTIVO CORRIENTE</v>
      </c>
      <c r="E15" s="3">
        <v>1</v>
      </c>
      <c r="F15" s="8" t="str">
        <f>VLOOKUP(E15,'ACTIVOS CODIGO'!E:F,2,0)</f>
        <v>ACTIVO DISPONIBLE</v>
      </c>
      <c r="G15" s="19">
        <v>102</v>
      </c>
      <c r="H15" s="10" t="str">
        <f>VLOOKUP(G15,'PUB 21'!$A$1:$B$29,2,0)</f>
        <v>TESORERIA MUNICIPAL</v>
      </c>
      <c r="I15" s="17">
        <v>1</v>
      </c>
      <c r="J15" s="15" t="s">
        <v>7</v>
      </c>
      <c r="K15" s="13">
        <v>1</v>
      </c>
      <c r="L15" s="14" t="s">
        <v>31</v>
      </c>
      <c r="M15" s="27" t="str">
        <f t="shared" si="2"/>
        <v>1-1-1-10-21-01</v>
      </c>
      <c r="N15" s="27" t="str">
        <f t="shared" si="3"/>
        <v>BANCO PUBLICO</v>
      </c>
      <c r="O15" s="4">
        <f t="shared" si="0"/>
        <v>6</v>
      </c>
      <c r="P15" s="16" t="s">
        <v>26</v>
      </c>
      <c r="Q15" s="4" t="str">
        <f t="shared" si="4"/>
        <v>1-1-1-10-21-01-006</v>
      </c>
      <c r="R15" s="4" t="str">
        <f t="shared" si="1"/>
        <v>IMCP 0014103451 FISCO MCPAL. 2021</v>
      </c>
    </row>
    <row r="16" spans="1:21" x14ac:dyDescent="0.2">
      <c r="A16" s="1">
        <v>1</v>
      </c>
      <c r="B16" s="6" t="str">
        <f>VLOOKUP(A16,'ACTIVOS CODIGO'!A:B,2,0)</f>
        <v>ACTIVO</v>
      </c>
      <c r="C16" s="2">
        <v>1</v>
      </c>
      <c r="D16" s="7" t="str">
        <f>VLOOKUP(C16,'ACTIVOS CODIGO'!C:D,2,0)</f>
        <v>ACTIVO DEL TESORO = ACTIVO CORRIENTE</v>
      </c>
      <c r="E16" s="3">
        <v>1</v>
      </c>
      <c r="F16" s="8" t="str">
        <f>VLOOKUP(E16,'ACTIVOS CODIGO'!E:F,2,0)</f>
        <v>ACTIVO DISPONIBLE</v>
      </c>
      <c r="G16" s="19">
        <v>102</v>
      </c>
      <c r="H16" s="10" t="str">
        <f>VLOOKUP(G16,'PUB 21'!$A$1:$B$29,2,0)</f>
        <v>TESORERIA MUNICIPAL</v>
      </c>
      <c r="I16" s="17">
        <v>1</v>
      </c>
      <c r="J16" s="15" t="s">
        <v>7</v>
      </c>
      <c r="K16" s="13">
        <v>1</v>
      </c>
      <c r="L16" s="14" t="s">
        <v>31</v>
      </c>
      <c r="M16" s="27" t="str">
        <f t="shared" si="2"/>
        <v>1-1-1-10-21-01</v>
      </c>
      <c r="N16" s="27" t="str">
        <f t="shared" si="3"/>
        <v>BANCO PUBLICO</v>
      </c>
      <c r="O16" s="4">
        <f t="shared" si="0"/>
        <v>7</v>
      </c>
      <c r="P16" s="16" t="s">
        <v>27</v>
      </c>
      <c r="Q16" s="4" t="str">
        <f t="shared" si="4"/>
        <v>1-1-1-10-21-01-007</v>
      </c>
      <c r="R16" s="4" t="str">
        <f t="shared" si="1"/>
        <v>I.M.C.P. 0601-0001-28-0014103519 IMP. Y RETENC. 2021</v>
      </c>
    </row>
    <row r="17" spans="1:18" x14ac:dyDescent="0.2">
      <c r="A17" s="1">
        <v>1</v>
      </c>
      <c r="B17" s="6" t="str">
        <f>VLOOKUP(A17,'ACTIVOS CODIGO'!A:B,2,0)</f>
        <v>ACTIVO</v>
      </c>
      <c r="C17" s="2">
        <v>1</v>
      </c>
      <c r="D17" s="7" t="str">
        <f>VLOOKUP(C17,'ACTIVOS CODIGO'!C:D,2,0)</f>
        <v>ACTIVO DEL TESORO = ACTIVO CORRIENTE</v>
      </c>
      <c r="E17" s="3">
        <v>1</v>
      </c>
      <c r="F17" s="8" t="str">
        <f>VLOOKUP(E17,'ACTIVOS CODIGO'!E:F,2,0)</f>
        <v>ACTIVO DISPONIBLE</v>
      </c>
      <c r="G17" s="19">
        <v>102</v>
      </c>
      <c r="H17" s="10" t="str">
        <f>VLOOKUP(G17,'PUB 21'!$A$1:$B$29,2,0)</f>
        <v>TESORERIA MUNICIPAL</v>
      </c>
      <c r="I17" s="17">
        <v>1</v>
      </c>
      <c r="J17" s="15" t="s">
        <v>7</v>
      </c>
      <c r="K17" s="13">
        <v>1</v>
      </c>
      <c r="L17" s="14" t="s">
        <v>31</v>
      </c>
      <c r="M17" s="27" t="str">
        <f t="shared" si="2"/>
        <v>1-1-1-10-21-01</v>
      </c>
      <c r="N17" s="27" t="str">
        <f t="shared" si="3"/>
        <v>BANCO PUBLICO</v>
      </c>
      <c r="O17" s="4">
        <f t="shared" si="0"/>
        <v>8</v>
      </c>
      <c r="P17" s="16" t="s">
        <v>28</v>
      </c>
      <c r="Q17" s="4" t="str">
        <f t="shared" si="4"/>
        <v>1-1-1-10-21-01-008</v>
      </c>
      <c r="R17" s="4" t="str">
        <f t="shared" si="1"/>
        <v>I.M.C.P. 0014103501 RESERVAS 2021</v>
      </c>
    </row>
    <row r="18" spans="1:18" x14ac:dyDescent="0.2">
      <c r="A18" s="1">
        <v>1</v>
      </c>
      <c r="B18" s="6" t="str">
        <f>VLOOKUP(A18,'ACTIVOS CODIGO'!A:B,2,0)</f>
        <v>ACTIVO</v>
      </c>
      <c r="C18" s="2">
        <v>1</v>
      </c>
      <c r="D18" s="7" t="str">
        <f>VLOOKUP(C18,'ACTIVOS CODIGO'!C:D,2,0)</f>
        <v>ACTIVO DEL TESORO = ACTIVO CORRIENTE</v>
      </c>
      <c r="E18" s="3">
        <v>1</v>
      </c>
      <c r="F18" s="8" t="str">
        <f>VLOOKUP(E18,'ACTIVOS CODIGO'!E:F,2,0)</f>
        <v>ACTIVO DISPONIBLE</v>
      </c>
      <c r="G18" s="19">
        <v>102</v>
      </c>
      <c r="H18" s="10" t="str">
        <f>VLOOKUP(G18,'PUB 21'!$A$1:$B$29,2,0)</f>
        <v>TESORERIA MUNICIPAL</v>
      </c>
      <c r="I18" s="17">
        <v>1</v>
      </c>
      <c r="J18" s="15" t="s">
        <v>7</v>
      </c>
      <c r="K18" s="13">
        <v>1</v>
      </c>
      <c r="L18" s="14" t="s">
        <v>31</v>
      </c>
      <c r="M18" s="27" t="str">
        <f t="shared" si="2"/>
        <v>1-1-1-10-21-01</v>
      </c>
      <c r="N18" s="27" t="str">
        <f t="shared" si="3"/>
        <v>BANCO PUBLICO</v>
      </c>
      <c r="O18" s="4">
        <f t="shared" si="0"/>
        <v>9</v>
      </c>
      <c r="P18" s="16" t="s">
        <v>29</v>
      </c>
      <c r="Q18" s="4" t="str">
        <f t="shared" si="4"/>
        <v>1-1-1-10-21-01-009</v>
      </c>
      <c r="R18" s="4" t="str">
        <f t="shared" si="1"/>
        <v>I.M.C.P 0014103485 APOSTILLAMIENTO 2021</v>
      </c>
    </row>
    <row r="19" spans="1:18" x14ac:dyDescent="0.2">
      <c r="A19" s="1">
        <v>1</v>
      </c>
      <c r="B19" s="6" t="str">
        <f>VLOOKUP(A19,'ACTIVOS CODIGO'!A:B,2,0)</f>
        <v>ACTIVO</v>
      </c>
      <c r="C19" s="2">
        <v>1</v>
      </c>
      <c r="D19" s="7" t="str">
        <f>VLOOKUP(C19,'ACTIVOS CODIGO'!C:D,2,0)</f>
        <v>ACTIVO DEL TESORO = ACTIVO CORRIENTE</v>
      </c>
      <c r="E19" s="3">
        <v>1</v>
      </c>
      <c r="F19" s="8" t="str">
        <f>VLOOKUP(E19,'ACTIVOS CODIGO'!E:F,2,0)</f>
        <v>ACTIVO DISPONIBLE</v>
      </c>
      <c r="G19" s="19">
        <v>102</v>
      </c>
      <c r="H19" s="10" t="str">
        <f>VLOOKUP(G19,'PUB 21'!$A$1:$B$29,2,0)</f>
        <v>TESORERIA MUNICIPAL</v>
      </c>
      <c r="I19" s="17">
        <v>1</v>
      </c>
      <c r="J19" s="15" t="s">
        <v>7</v>
      </c>
      <c r="K19" s="13">
        <v>1</v>
      </c>
      <c r="L19" s="14" t="s">
        <v>31</v>
      </c>
      <c r="M19" s="27" t="str">
        <f t="shared" si="2"/>
        <v>1-1-1-10-21-01</v>
      </c>
      <c r="N19" s="27" t="str">
        <f t="shared" si="3"/>
        <v>BANCO PUBLICO</v>
      </c>
      <c r="O19" s="4">
        <f t="shared" si="0"/>
        <v>10</v>
      </c>
      <c r="P19" s="16" t="s">
        <v>32</v>
      </c>
      <c r="Q19" s="4" t="str">
        <f t="shared" si="4"/>
        <v>1-1-1-10-21-01-010</v>
      </c>
      <c r="R19" s="4" t="str">
        <f t="shared" si="1"/>
        <v>I.M.C.P. 0014103493 FCI 2021</v>
      </c>
    </row>
    <row r="20" spans="1:18" x14ac:dyDescent="0.2">
      <c r="A20" s="1">
        <v>1</v>
      </c>
      <c r="B20" s="6" t="str">
        <f>VLOOKUP(A20,'ACTIVOS CODIGO'!A:B,2,0)</f>
        <v>ACTIVO</v>
      </c>
      <c r="C20" s="2">
        <v>1</v>
      </c>
      <c r="D20" s="7" t="str">
        <f>VLOOKUP(C20,'ACTIVOS CODIGO'!C:D,2,0)</f>
        <v>ACTIVO DEL TESORO = ACTIVO CORRIENTE</v>
      </c>
      <c r="E20" s="3">
        <v>1</v>
      </c>
      <c r="F20" s="8" t="str">
        <f>VLOOKUP(E20,'ACTIVOS CODIGO'!E:F,2,0)</f>
        <v>ACTIVO DISPONIBLE</v>
      </c>
      <c r="G20" s="19">
        <v>102</v>
      </c>
      <c r="H20" s="10" t="str">
        <f>VLOOKUP(G20,'PUB 21'!$A$1:$B$29,2,0)</f>
        <v>TESORERIA MUNICIPAL</v>
      </c>
      <c r="I20" s="17">
        <v>1</v>
      </c>
      <c r="J20" s="15" t="s">
        <v>7</v>
      </c>
      <c r="K20" s="13">
        <v>1</v>
      </c>
      <c r="L20" s="14" t="s">
        <v>31</v>
      </c>
      <c r="M20" s="27" t="str">
        <f t="shared" si="2"/>
        <v>1-1-1-10-21-01</v>
      </c>
      <c r="N20" s="27" t="str">
        <f t="shared" si="3"/>
        <v>BANCO PUBLICO</v>
      </c>
      <c r="O20" s="4">
        <f t="shared" si="0"/>
        <v>11</v>
      </c>
      <c r="P20" s="16" t="s">
        <v>33</v>
      </c>
      <c r="Q20" s="4" t="str">
        <f t="shared" si="4"/>
        <v>1-1-1-10-21-01-011</v>
      </c>
      <c r="R20" s="4" t="str">
        <f t="shared" si="1"/>
        <v>I.M.C.P 0014103469 ING. EXT. 2021</v>
      </c>
    </row>
    <row r="21" spans="1:18" x14ac:dyDescent="0.2">
      <c r="A21" s="1">
        <v>1</v>
      </c>
      <c r="B21" s="6" t="str">
        <f>VLOOKUP(A21,'ACTIVOS CODIGO'!A:B,2,0)</f>
        <v>ACTIVO</v>
      </c>
      <c r="C21" s="2">
        <v>1</v>
      </c>
      <c r="D21" s="7" t="str">
        <f>VLOOKUP(C21,'ACTIVOS CODIGO'!C:D,2,0)</f>
        <v>ACTIVO DEL TESORO = ACTIVO CORRIENTE</v>
      </c>
      <c r="E21" s="3">
        <v>1</v>
      </c>
      <c r="F21" s="8" t="str">
        <f>VLOOKUP(E21,'ACTIVOS CODIGO'!E:F,2,0)</f>
        <v>ACTIVO DISPONIBLE</v>
      </c>
      <c r="G21" s="19">
        <v>102</v>
      </c>
      <c r="H21" s="10" t="str">
        <f>VLOOKUP(G21,'PUB 21'!$A$1:$B$29,2,0)</f>
        <v>TESORERIA MUNICIPAL</v>
      </c>
      <c r="I21" s="17">
        <v>1</v>
      </c>
      <c r="J21" s="15" t="s">
        <v>7</v>
      </c>
      <c r="K21" s="13">
        <v>1</v>
      </c>
      <c r="L21" s="14" t="s">
        <v>31</v>
      </c>
      <c r="M21" s="27" t="str">
        <f t="shared" si="2"/>
        <v>1-1-1-10-21-01</v>
      </c>
      <c r="N21" s="27" t="str">
        <f t="shared" si="3"/>
        <v>BANCO PUBLICO</v>
      </c>
      <c r="O21" s="4">
        <f t="shared" si="0"/>
        <v>12</v>
      </c>
      <c r="P21" s="16" t="s">
        <v>34</v>
      </c>
      <c r="Q21" s="4" t="str">
        <f t="shared" si="4"/>
        <v>1-1-1-10-21-01-012</v>
      </c>
      <c r="R21" s="4" t="str">
        <f t="shared" si="1"/>
        <v>I.M.C.P 0014106082 ING. NO TRIBUTARIOS 2021</v>
      </c>
    </row>
    <row r="22" spans="1:18" x14ac:dyDescent="0.2">
      <c r="A22" s="1">
        <v>1</v>
      </c>
      <c r="B22" s="6" t="str">
        <f>VLOOKUP(A22,'ACTIVOS CODIGO'!A:B,2,0)</f>
        <v>ACTIVO</v>
      </c>
      <c r="C22" s="2">
        <v>1</v>
      </c>
      <c r="D22" s="7" t="str">
        <f>VLOOKUP(C22,'ACTIVOS CODIGO'!C:D,2,0)</f>
        <v>ACTIVO DEL TESORO = ACTIVO CORRIENTE</v>
      </c>
      <c r="E22" s="3">
        <v>1</v>
      </c>
      <c r="F22" s="8" t="str">
        <f>VLOOKUP(E22,'ACTIVOS CODIGO'!E:F,2,0)</f>
        <v>ACTIVO DISPONIBLE</v>
      </c>
      <c r="G22" s="19">
        <v>102</v>
      </c>
      <c r="H22" s="10" t="str">
        <f>VLOOKUP(G22,'PUB 21'!$A$1:$B$29,2,0)</f>
        <v>TESORERIA MUNICIPAL</v>
      </c>
      <c r="I22" s="17">
        <v>1</v>
      </c>
      <c r="J22" s="15" t="s">
        <v>7</v>
      </c>
      <c r="K22" s="13">
        <v>1</v>
      </c>
      <c r="L22" s="14" t="s">
        <v>31</v>
      </c>
      <c r="M22" s="27" t="str">
        <f t="shared" si="2"/>
        <v>1-1-1-10-21-01</v>
      </c>
      <c r="N22" s="27" t="str">
        <f t="shared" si="3"/>
        <v>BANCO PUBLICO</v>
      </c>
      <c r="O22" s="4">
        <f t="shared" si="0"/>
        <v>13</v>
      </c>
      <c r="P22" s="16" t="s">
        <v>35</v>
      </c>
      <c r="Q22" s="4" t="str">
        <f t="shared" si="4"/>
        <v>1-1-1-10-21-01-013</v>
      </c>
      <c r="R22" s="4" t="str">
        <f t="shared" si="1"/>
        <v>VENEZUELA 0102-0762-2000000076212 CTA. GASTOS 2021</v>
      </c>
    </row>
    <row r="23" spans="1:18" x14ac:dyDescent="0.2">
      <c r="A23" s="1">
        <v>1</v>
      </c>
      <c r="B23" s="6" t="str">
        <f>VLOOKUP(A23,'ACTIVOS CODIGO'!A:B,2,0)</f>
        <v>ACTIVO</v>
      </c>
      <c r="C23" s="2">
        <v>1</v>
      </c>
      <c r="D23" s="7" t="str">
        <f>VLOOKUP(C23,'ACTIVOS CODIGO'!C:D,2,0)</f>
        <v>ACTIVO DEL TESORO = ACTIVO CORRIENTE</v>
      </c>
      <c r="E23" s="3">
        <v>1</v>
      </c>
      <c r="F23" s="8" t="str">
        <f>VLOOKUP(E23,'ACTIVOS CODIGO'!E:F,2,0)</f>
        <v>ACTIVO DISPONIBLE</v>
      </c>
      <c r="G23" s="19">
        <v>102</v>
      </c>
      <c r="H23" s="10" t="str">
        <f>VLOOKUP(G23,'PUB 21'!$A$1:$B$29,2,0)</f>
        <v>TESORERIA MUNICIPAL</v>
      </c>
      <c r="I23" s="17">
        <v>1</v>
      </c>
      <c r="J23" s="15" t="s">
        <v>7</v>
      </c>
      <c r="K23" s="13">
        <v>1</v>
      </c>
      <c r="L23" s="14" t="s">
        <v>31</v>
      </c>
      <c r="M23" s="27" t="str">
        <f t="shared" si="2"/>
        <v>1-1-1-10-21-01</v>
      </c>
      <c r="N23" s="27" t="str">
        <f t="shared" si="3"/>
        <v>BANCO PUBLICO</v>
      </c>
      <c r="O23" s="4">
        <f t="shared" si="0"/>
        <v>14</v>
      </c>
      <c r="P23" s="16" t="s">
        <v>36</v>
      </c>
      <c r="Q23" s="4" t="str">
        <f t="shared" si="4"/>
        <v>1-1-1-10-21-01-014</v>
      </c>
      <c r="R23" s="4" t="str">
        <f t="shared" si="1"/>
        <v>I.M.C.P. 0601-0001-26-0014107197 "CUENTA GASTOS 2022"</v>
      </c>
    </row>
    <row r="24" spans="1:18" x14ac:dyDescent="0.2">
      <c r="A24" s="1">
        <v>1</v>
      </c>
      <c r="B24" s="6" t="str">
        <f>VLOOKUP(A24,'ACTIVOS CODIGO'!A:B,2,0)</f>
        <v>ACTIVO</v>
      </c>
      <c r="C24" s="2">
        <v>1</v>
      </c>
      <c r="D24" s="7" t="str">
        <f>VLOOKUP(C24,'ACTIVOS CODIGO'!C:D,2,0)</f>
        <v>ACTIVO DEL TESORO = ACTIVO CORRIENTE</v>
      </c>
      <c r="E24" s="3">
        <v>1</v>
      </c>
      <c r="F24" s="8" t="str">
        <f>VLOOKUP(E24,'ACTIVOS CODIGO'!E:F,2,0)</f>
        <v>ACTIVO DISPONIBLE</v>
      </c>
      <c r="G24" s="19">
        <v>102</v>
      </c>
      <c r="H24" s="10" t="str">
        <f>VLOOKUP(G24,'PUB 21'!$A$1:$B$29,2,0)</f>
        <v>TESORERIA MUNICIPAL</v>
      </c>
      <c r="I24" s="17">
        <v>1</v>
      </c>
      <c r="J24" s="15" t="s">
        <v>7</v>
      </c>
      <c r="K24" s="13">
        <v>1</v>
      </c>
      <c r="L24" s="14" t="s">
        <v>31</v>
      </c>
      <c r="M24" s="27" t="str">
        <f t="shared" si="2"/>
        <v>1-1-1-10-21-01</v>
      </c>
      <c r="N24" s="27" t="str">
        <f t="shared" si="3"/>
        <v>BANCO PUBLICO</v>
      </c>
      <c r="O24" s="4">
        <f t="shared" si="0"/>
        <v>15</v>
      </c>
      <c r="P24" s="16" t="s">
        <v>37</v>
      </c>
      <c r="Q24" s="4" t="str">
        <f t="shared" si="4"/>
        <v>1-1-1-10-21-01-015</v>
      </c>
      <c r="R24" s="4" t="str">
        <f t="shared" si="1"/>
        <v>VENEZUELA 0102-0762-24-0000078045 "GASTOS 2022"</v>
      </c>
    </row>
    <row r="25" spans="1:18" x14ac:dyDescent="0.2">
      <c r="A25" s="1">
        <v>1</v>
      </c>
      <c r="B25" s="6" t="str">
        <f>VLOOKUP(A25,'ACTIVOS CODIGO'!A:B,2,0)</f>
        <v>ACTIVO</v>
      </c>
      <c r="C25" s="2">
        <v>1</v>
      </c>
      <c r="D25" s="7" t="str">
        <f>VLOOKUP(C25,'ACTIVOS CODIGO'!C:D,2,0)</f>
        <v>ACTIVO DEL TESORO = ACTIVO CORRIENTE</v>
      </c>
      <c r="E25" s="3">
        <v>1</v>
      </c>
      <c r="F25" s="8" t="str">
        <f>VLOOKUP(E25,'ACTIVOS CODIGO'!E:F,2,0)</f>
        <v>ACTIVO DISPONIBLE</v>
      </c>
      <c r="G25" s="19">
        <v>102</v>
      </c>
      <c r="H25" s="10" t="str">
        <f>VLOOKUP(G25,'PUB 21'!$A$1:$B$29,2,0)</f>
        <v>TESORERIA MUNICIPAL</v>
      </c>
      <c r="I25" s="17">
        <v>1</v>
      </c>
      <c r="J25" s="15" t="s">
        <v>7</v>
      </c>
      <c r="K25" s="13">
        <v>1</v>
      </c>
      <c r="L25" s="14" t="s">
        <v>31</v>
      </c>
      <c r="M25" s="27" t="str">
        <f t="shared" si="2"/>
        <v>1-1-1-10-21-01</v>
      </c>
      <c r="N25" s="27" t="str">
        <f t="shared" si="3"/>
        <v>BANCO PUBLICO</v>
      </c>
      <c r="O25" s="4">
        <f t="shared" si="0"/>
        <v>16</v>
      </c>
      <c r="P25" s="16" t="s">
        <v>38</v>
      </c>
      <c r="Q25" s="4" t="str">
        <f t="shared" si="4"/>
        <v>1-1-1-10-21-01-016</v>
      </c>
      <c r="R25" s="4" t="str">
        <f t="shared" si="1"/>
        <v>I.M.C.P. 0601-0001-21-0014107213 "ING. EXT. EJEC. NAC."</v>
      </c>
    </row>
    <row r="26" spans="1:18" x14ac:dyDescent="0.2">
      <c r="A26" s="1">
        <v>1</v>
      </c>
      <c r="B26" s="6" t="str">
        <f>VLOOKUP(A26,'ACTIVOS CODIGO'!A:B,2,0)</f>
        <v>ACTIVO</v>
      </c>
      <c r="C26" s="2">
        <v>1</v>
      </c>
      <c r="D26" s="7" t="str">
        <f>VLOOKUP(C26,'ACTIVOS CODIGO'!C:D,2,0)</f>
        <v>ACTIVO DEL TESORO = ACTIVO CORRIENTE</v>
      </c>
      <c r="E26" s="3">
        <v>1</v>
      </c>
      <c r="F26" s="8" t="str">
        <f>VLOOKUP(E26,'ACTIVOS CODIGO'!E:F,2,0)</f>
        <v>ACTIVO DISPONIBLE</v>
      </c>
      <c r="G26" s="19">
        <v>102</v>
      </c>
      <c r="H26" s="10" t="str">
        <f>VLOOKUP(G26,'PUB 21'!$A$1:$B$29,2,0)</f>
        <v>TESORERIA MUNICIPAL</v>
      </c>
      <c r="I26" s="17">
        <v>1</v>
      </c>
      <c r="J26" s="15" t="s">
        <v>7</v>
      </c>
      <c r="K26" s="13">
        <v>1</v>
      </c>
      <c r="L26" s="14" t="s">
        <v>31</v>
      </c>
      <c r="M26" s="27" t="str">
        <f t="shared" si="2"/>
        <v>1-1-1-10-21-01</v>
      </c>
      <c r="N26" s="27" t="str">
        <f t="shared" si="3"/>
        <v>BANCO PUBLICO</v>
      </c>
      <c r="O26" s="4">
        <f t="shared" si="0"/>
        <v>17</v>
      </c>
      <c r="P26" s="16" t="s">
        <v>39</v>
      </c>
      <c r="Q26" s="4" t="str">
        <f t="shared" si="4"/>
        <v>1-1-1-10-21-01-017</v>
      </c>
      <c r="R26" s="4" t="str">
        <f t="shared" si="1"/>
        <v>0601-0001-22-0014107221 "A.M.L. FCI 2022"</v>
      </c>
    </row>
    <row r="27" spans="1:18" x14ac:dyDescent="0.2">
      <c r="A27" s="1">
        <v>1</v>
      </c>
      <c r="B27" s="6" t="str">
        <f>VLOOKUP(A27,'ACTIVOS CODIGO'!A:B,2,0)</f>
        <v>ACTIVO</v>
      </c>
      <c r="C27" s="2">
        <v>1</v>
      </c>
      <c r="D27" s="7" t="str">
        <f>VLOOKUP(C27,'ACTIVOS CODIGO'!C:D,2,0)</f>
        <v>ACTIVO DEL TESORO = ACTIVO CORRIENTE</v>
      </c>
      <c r="E27" s="3">
        <v>1</v>
      </c>
      <c r="F27" s="8" t="str">
        <f>VLOOKUP(E27,'ACTIVOS CODIGO'!E:F,2,0)</f>
        <v>ACTIVO DISPONIBLE</v>
      </c>
      <c r="G27" s="19">
        <v>102</v>
      </c>
      <c r="H27" s="10" t="str">
        <f>VLOOKUP(G27,'PUB 21'!$A$1:$B$29,2,0)</f>
        <v>TESORERIA MUNICIPAL</v>
      </c>
      <c r="I27" s="17">
        <v>1</v>
      </c>
      <c r="J27" s="15" t="s">
        <v>7</v>
      </c>
      <c r="K27" s="13">
        <v>1</v>
      </c>
      <c r="L27" s="14" t="s">
        <v>31</v>
      </c>
      <c r="M27" s="27" t="str">
        <f t="shared" si="2"/>
        <v>1-1-1-10-21-01</v>
      </c>
      <c r="N27" s="27" t="str">
        <f t="shared" si="3"/>
        <v>BANCO PUBLICO</v>
      </c>
      <c r="O27" s="4">
        <f t="shared" si="0"/>
        <v>18</v>
      </c>
      <c r="P27" s="16" t="s">
        <v>40</v>
      </c>
      <c r="Q27" s="4" t="str">
        <f t="shared" si="4"/>
        <v>1-1-1-10-21-01-018</v>
      </c>
      <c r="R27" s="4" t="str">
        <f t="shared" si="1"/>
        <v>0601-0001-26-0014107247 "A.M.L. REINTEGROS 2022"</v>
      </c>
    </row>
    <row r="28" spans="1:18" x14ac:dyDescent="0.2">
      <c r="A28" s="1">
        <v>1</v>
      </c>
      <c r="B28" s="6" t="str">
        <f>VLOOKUP(A28,'ACTIVOS CODIGO'!A:B,2,0)</f>
        <v>ACTIVO</v>
      </c>
      <c r="C28" s="2">
        <v>1</v>
      </c>
      <c r="D28" s="7" t="str">
        <f>VLOOKUP(C28,'ACTIVOS CODIGO'!C:D,2,0)</f>
        <v>ACTIVO DEL TESORO = ACTIVO CORRIENTE</v>
      </c>
      <c r="E28" s="3">
        <v>1</v>
      </c>
      <c r="F28" s="8" t="str">
        <f>VLOOKUP(E28,'ACTIVOS CODIGO'!E:F,2,0)</f>
        <v>ACTIVO DISPONIBLE</v>
      </c>
      <c r="G28" s="19">
        <v>102</v>
      </c>
      <c r="H28" s="10" t="str">
        <f>VLOOKUP(G28,'PUB 21'!$A$1:$B$29,2,0)</f>
        <v>TESORERIA MUNICIPAL</v>
      </c>
      <c r="I28" s="17">
        <v>1</v>
      </c>
      <c r="J28" s="15" t="s">
        <v>7</v>
      </c>
      <c r="K28" s="13">
        <v>1</v>
      </c>
      <c r="L28" s="14" t="s">
        <v>31</v>
      </c>
      <c r="M28" s="27" t="str">
        <f t="shared" si="2"/>
        <v>1-1-1-10-21-01</v>
      </c>
      <c r="N28" s="27" t="str">
        <f t="shared" si="3"/>
        <v>BANCO PUBLICO</v>
      </c>
      <c r="O28" s="4">
        <f t="shared" si="0"/>
        <v>19</v>
      </c>
      <c r="P28" s="16" t="s">
        <v>41</v>
      </c>
      <c r="Q28" s="4" t="str">
        <f t="shared" si="4"/>
        <v>1-1-1-10-21-01-019</v>
      </c>
      <c r="R28" s="4" t="str">
        <f t="shared" si="1"/>
        <v>0601-0001-25-2214107239 "A.M.L. RESERVAS DEL TESORO MCPAL."</v>
      </c>
    </row>
    <row r="29" spans="1:18" x14ac:dyDescent="0.2">
      <c r="A29" s="1">
        <v>1</v>
      </c>
      <c r="B29" s="6" t="str">
        <f>VLOOKUP(A29,'ACTIVOS CODIGO'!A:B,2,0)</f>
        <v>ACTIVO</v>
      </c>
      <c r="C29" s="2">
        <v>1</v>
      </c>
      <c r="D29" s="7" t="str">
        <f>VLOOKUP(C29,'ACTIVOS CODIGO'!C:D,2,0)</f>
        <v>ACTIVO DEL TESORO = ACTIVO CORRIENTE</v>
      </c>
      <c r="E29" s="3">
        <v>1</v>
      </c>
      <c r="F29" s="8" t="str">
        <f>VLOOKUP(E29,'ACTIVOS CODIGO'!E:F,2,0)</f>
        <v>ACTIVO DISPONIBLE</v>
      </c>
      <c r="G29" s="19">
        <v>102</v>
      </c>
      <c r="H29" s="10" t="str">
        <f>VLOOKUP(G29,'PUB 21'!$A$1:$B$29,2,0)</f>
        <v>TESORERIA MUNICIPAL</v>
      </c>
      <c r="I29" s="17">
        <v>1</v>
      </c>
      <c r="J29" s="15" t="s">
        <v>7</v>
      </c>
      <c r="K29" s="13">
        <v>1</v>
      </c>
      <c r="L29" s="14" t="s">
        <v>31</v>
      </c>
      <c r="M29" s="27" t="str">
        <f t="shared" si="2"/>
        <v>1-1-1-10-21-01</v>
      </c>
      <c r="N29" s="27" t="str">
        <f t="shared" si="3"/>
        <v>BANCO PUBLICO</v>
      </c>
      <c r="O29" s="4">
        <f t="shared" si="0"/>
        <v>20</v>
      </c>
      <c r="P29" s="16" t="s">
        <v>42</v>
      </c>
      <c r="Q29" s="4" t="str">
        <f t="shared" si="4"/>
        <v>1-1-1-10-21-01-020</v>
      </c>
      <c r="R29" s="4" t="str">
        <f t="shared" si="1"/>
        <v>0601-0001-29-0014107254 "A.M.L.INGRESOS NO TRIBUTARIOS"</v>
      </c>
    </row>
    <row r="30" spans="1:18" x14ac:dyDescent="0.2">
      <c r="A30" s="1">
        <v>1</v>
      </c>
      <c r="B30" s="6" t="str">
        <f>VLOOKUP(A30,'ACTIVOS CODIGO'!A:B,2,0)</f>
        <v>ACTIVO</v>
      </c>
      <c r="C30" s="2">
        <v>1</v>
      </c>
      <c r="D30" s="7" t="str">
        <f>VLOOKUP(C30,'ACTIVOS CODIGO'!C:D,2,0)</f>
        <v>ACTIVO DEL TESORO = ACTIVO CORRIENTE</v>
      </c>
      <c r="E30" s="3">
        <v>1</v>
      </c>
      <c r="F30" s="8" t="str">
        <f>VLOOKUP(E30,'ACTIVOS CODIGO'!E:F,2,0)</f>
        <v>ACTIVO DISPONIBLE</v>
      </c>
      <c r="G30" s="19">
        <v>102</v>
      </c>
      <c r="H30" s="10" t="str">
        <f>VLOOKUP(G30,'PUB 21'!$A$1:$B$29,2,0)</f>
        <v>TESORERIA MUNICIPAL</v>
      </c>
      <c r="I30" s="17">
        <v>1</v>
      </c>
      <c r="J30" s="15" t="s">
        <v>7</v>
      </c>
      <c r="K30" s="13">
        <v>1</v>
      </c>
      <c r="L30" s="14" t="s">
        <v>31</v>
      </c>
      <c r="M30" s="27" t="str">
        <f t="shared" si="2"/>
        <v>1-1-1-10-21-01</v>
      </c>
      <c r="N30" s="27" t="str">
        <f t="shared" si="3"/>
        <v>BANCO PUBLICO</v>
      </c>
      <c r="O30" s="4">
        <f t="shared" si="0"/>
        <v>21</v>
      </c>
      <c r="P30" s="16" t="s">
        <v>43</v>
      </c>
      <c r="Q30" s="4" t="str">
        <f t="shared" si="4"/>
        <v>1-1-1-10-21-01-021</v>
      </c>
      <c r="R30" s="4" t="str">
        <f t="shared" si="1"/>
        <v>0601-0001-20-0014107262 "A.M.L. IMP. Y RETENC. 2022"</v>
      </c>
    </row>
    <row r="31" spans="1:18" x14ac:dyDescent="0.2">
      <c r="A31" s="1">
        <v>1</v>
      </c>
      <c r="B31" s="6" t="str">
        <f>VLOOKUP(A31,'ACTIVOS CODIGO'!A:B,2,0)</f>
        <v>ACTIVO</v>
      </c>
      <c r="C31" s="2">
        <v>1</v>
      </c>
      <c r="D31" s="7" t="str">
        <f>VLOOKUP(C31,'ACTIVOS CODIGO'!C:D,2,0)</f>
        <v>ACTIVO DEL TESORO = ACTIVO CORRIENTE</v>
      </c>
      <c r="E31" s="3">
        <v>1</v>
      </c>
      <c r="F31" s="8" t="str">
        <f>VLOOKUP(E31,'ACTIVOS CODIGO'!E:F,2,0)</f>
        <v>ACTIVO DISPONIBLE</v>
      </c>
      <c r="G31" s="19">
        <v>102</v>
      </c>
      <c r="H31" s="10" t="str">
        <f>VLOOKUP(G31,'PUB 21'!$A$1:$B$29,2,0)</f>
        <v>TESORERIA MUNICIPAL</v>
      </c>
      <c r="I31" s="17">
        <v>1</v>
      </c>
      <c r="J31" s="15" t="s">
        <v>7</v>
      </c>
      <c r="K31" s="13">
        <v>1</v>
      </c>
      <c r="L31" s="14" t="s">
        <v>31</v>
      </c>
      <c r="M31" s="27" t="str">
        <f t="shared" si="2"/>
        <v>1-1-1-10-21-01</v>
      </c>
      <c r="N31" s="27" t="str">
        <f t="shared" si="3"/>
        <v>BANCO PUBLICO</v>
      </c>
      <c r="O31" s="4">
        <f t="shared" si="0"/>
        <v>22</v>
      </c>
      <c r="P31" s="16" t="s">
        <v>44</v>
      </c>
      <c r="Q31" s="4" t="str">
        <f t="shared" si="4"/>
        <v>1-1-1-10-21-01-022</v>
      </c>
      <c r="R31" s="4" t="str">
        <f t="shared" si="1"/>
        <v>0601-0001-21-0014107270 "A.M.L.APOSTILLAMIENTO 2022"</v>
      </c>
    </row>
    <row r="32" spans="1:18" x14ac:dyDescent="0.2">
      <c r="A32" s="1">
        <v>1</v>
      </c>
      <c r="B32" s="6" t="str">
        <f>VLOOKUP(A32,'ACTIVOS CODIGO'!A:B,2,0)</f>
        <v>ACTIVO</v>
      </c>
      <c r="C32" s="2">
        <v>1</v>
      </c>
      <c r="D32" s="7" t="str">
        <f>VLOOKUP(C32,'ACTIVOS CODIGO'!C:D,2,0)</f>
        <v>ACTIVO DEL TESORO = ACTIVO CORRIENTE</v>
      </c>
      <c r="E32" s="3">
        <v>1</v>
      </c>
      <c r="F32" s="8" t="str">
        <f>VLOOKUP(E32,'ACTIVOS CODIGO'!E:F,2,0)</f>
        <v>ACTIVO DISPONIBLE</v>
      </c>
      <c r="G32" s="19">
        <v>102</v>
      </c>
      <c r="H32" s="10" t="str">
        <f>VLOOKUP(G32,'PUB 21'!$A$1:$B$29,2,0)</f>
        <v>TESORERIA MUNICIPAL</v>
      </c>
      <c r="I32" s="17">
        <v>1</v>
      </c>
      <c r="J32" s="15" t="s">
        <v>7</v>
      </c>
      <c r="K32" s="13">
        <v>1</v>
      </c>
      <c r="L32" s="14" t="s">
        <v>31</v>
      </c>
      <c r="M32" s="27" t="str">
        <f t="shared" si="2"/>
        <v>1-1-1-10-21-01</v>
      </c>
      <c r="N32" s="27" t="str">
        <f t="shared" si="3"/>
        <v>BANCO PUBLICO</v>
      </c>
      <c r="O32" s="4">
        <f t="shared" si="0"/>
        <v>23</v>
      </c>
      <c r="P32" s="16" t="s">
        <v>45</v>
      </c>
      <c r="Q32" s="4" t="str">
        <f t="shared" si="4"/>
        <v>1-1-1-10-21-01-023</v>
      </c>
      <c r="R32" s="4" t="str">
        <f t="shared" si="1"/>
        <v>I.M.C.P. 0106-0001-25-0014107189 "A.M.L. FISCO MCPAL. 2022"</v>
      </c>
    </row>
    <row r="33" spans="1:18" x14ac:dyDescent="0.2">
      <c r="A33" s="1">
        <v>1</v>
      </c>
      <c r="B33" s="6" t="str">
        <f>VLOOKUP(A33,'ACTIVOS CODIGO'!A:B,2,0)</f>
        <v>ACTIVO</v>
      </c>
      <c r="C33" s="2">
        <v>1</v>
      </c>
      <c r="D33" s="7" t="str">
        <f>VLOOKUP(C33,'ACTIVOS CODIGO'!C:D,2,0)</f>
        <v>ACTIVO DEL TESORO = ACTIVO CORRIENTE</v>
      </c>
      <c r="E33" s="3">
        <v>1</v>
      </c>
      <c r="F33" s="8" t="str">
        <f>VLOOKUP(E33,'ACTIVOS CODIGO'!E:F,2,0)</f>
        <v>ACTIVO DISPONIBLE</v>
      </c>
      <c r="G33" s="19">
        <v>102</v>
      </c>
      <c r="H33" s="10" t="str">
        <f>VLOOKUP(G33,'PUB 21'!$A$1:$B$29,2,0)</f>
        <v>TESORERIA MUNICIPAL</v>
      </c>
      <c r="I33" s="17">
        <v>1</v>
      </c>
      <c r="J33" s="15" t="s">
        <v>7</v>
      </c>
      <c r="K33" s="13">
        <v>1</v>
      </c>
      <c r="L33" s="14" t="s">
        <v>31</v>
      </c>
      <c r="M33" s="27" t="str">
        <f t="shared" si="2"/>
        <v>1-1-1-10-21-01</v>
      </c>
      <c r="N33" s="27" t="str">
        <f t="shared" si="3"/>
        <v>BANCO PUBLICO</v>
      </c>
      <c r="O33" s="4">
        <f t="shared" si="0"/>
        <v>24</v>
      </c>
      <c r="P33" s="16" t="s">
        <v>46</v>
      </c>
      <c r="Q33" s="4" t="str">
        <f t="shared" si="4"/>
        <v>1-1-1-10-21-01-024</v>
      </c>
      <c r="R33" s="4" t="str">
        <f t="shared" si="1"/>
        <v>VENEZUELA 0102-0762-21-0000078508 "FONDO DE COMP. 2022"</v>
      </c>
    </row>
    <row r="34" spans="1:18" x14ac:dyDescent="0.2">
      <c r="A34" s="1">
        <v>1</v>
      </c>
      <c r="B34" s="6" t="str">
        <f>VLOOKUP(A34,'ACTIVOS CODIGO'!A:B,2,0)</f>
        <v>ACTIVO</v>
      </c>
      <c r="C34" s="2">
        <v>1</v>
      </c>
      <c r="D34" s="7" t="str">
        <f>VLOOKUP(C34,'ACTIVOS CODIGO'!C:D,2,0)</f>
        <v>ACTIVO DEL TESORO = ACTIVO CORRIENTE</v>
      </c>
      <c r="E34" s="3">
        <v>1</v>
      </c>
      <c r="F34" s="8" t="str">
        <f>VLOOKUP(E34,'ACTIVOS CODIGO'!E:F,2,0)</f>
        <v>ACTIVO DISPONIBLE</v>
      </c>
      <c r="G34" s="19">
        <v>102</v>
      </c>
      <c r="H34" s="10" t="str">
        <f>VLOOKUP(G34,'PUB 21'!$A$1:$B$29,2,0)</f>
        <v>TESORERIA MUNICIPAL</v>
      </c>
      <c r="I34" s="17">
        <v>1</v>
      </c>
      <c r="J34" s="15" t="s">
        <v>7</v>
      </c>
      <c r="K34" s="13">
        <v>1</v>
      </c>
      <c r="L34" s="14" t="s">
        <v>31</v>
      </c>
      <c r="M34" s="27" t="str">
        <f t="shared" si="2"/>
        <v>1-1-1-10-21-01</v>
      </c>
      <c r="N34" s="27" t="str">
        <f t="shared" si="3"/>
        <v>BANCO PUBLICO</v>
      </c>
      <c r="O34" s="4">
        <f t="shared" si="0"/>
        <v>25</v>
      </c>
      <c r="P34" s="16" t="s">
        <v>47</v>
      </c>
      <c r="Q34" s="4" t="str">
        <f t="shared" si="4"/>
        <v>1-1-1-10-21-01-025</v>
      </c>
      <c r="R34" s="4" t="str">
        <f t="shared" si="1"/>
        <v>VENEZUELA 0102-0762-26-0000083700 "A.M.L. ING. PROPIOS 2022"</v>
      </c>
    </row>
    <row r="35" spans="1:18" x14ac:dyDescent="0.2">
      <c r="A35" s="1">
        <v>1</v>
      </c>
      <c r="B35" s="6" t="str">
        <f>VLOOKUP(A35,'ACTIVOS CODIGO'!A:B,2,0)</f>
        <v>ACTIVO</v>
      </c>
      <c r="C35" s="2">
        <v>1</v>
      </c>
      <c r="D35" s="7" t="str">
        <f>VLOOKUP(C35,'ACTIVOS CODIGO'!C:D,2,0)</f>
        <v>ACTIVO DEL TESORO = ACTIVO CORRIENTE</v>
      </c>
      <c r="E35" s="3">
        <v>1</v>
      </c>
      <c r="F35" s="8" t="str">
        <f>VLOOKUP(E35,'ACTIVOS CODIGO'!E:F,2,0)</f>
        <v>ACTIVO DISPONIBLE</v>
      </c>
      <c r="G35" s="19">
        <v>102</v>
      </c>
      <c r="H35" s="10" t="str">
        <f>VLOOKUP(G35,'PUB 21'!$A$1:$B$29,2,0)</f>
        <v>TESORERIA MUNICIPAL</v>
      </c>
      <c r="I35" s="17">
        <v>1</v>
      </c>
      <c r="J35" s="15" t="s">
        <v>7</v>
      </c>
      <c r="K35" s="13">
        <v>1</v>
      </c>
      <c r="L35" s="14" t="s">
        <v>31</v>
      </c>
      <c r="M35" s="27" t="str">
        <f t="shared" si="2"/>
        <v>1-1-1-10-21-01</v>
      </c>
      <c r="N35" s="27" t="str">
        <f t="shared" si="3"/>
        <v>BANCO PUBLICO</v>
      </c>
      <c r="O35" s="4">
        <f t="shared" si="0"/>
        <v>26</v>
      </c>
      <c r="P35" s="16" t="s">
        <v>48</v>
      </c>
      <c r="Q35" s="4" t="str">
        <f t="shared" si="4"/>
        <v>1-1-1-10-21-01-026</v>
      </c>
      <c r="R35" s="4" t="str">
        <f t="shared" si="1"/>
        <v>TESORO 9033007947</v>
      </c>
    </row>
    <row r="36" spans="1:18" x14ac:dyDescent="0.2">
      <c r="A36" s="1">
        <v>1</v>
      </c>
      <c r="B36" s="6" t="str">
        <f>VLOOKUP(A36,'ACTIVOS CODIGO'!A:B,2,0)</f>
        <v>ACTIVO</v>
      </c>
      <c r="C36" s="2">
        <v>1</v>
      </c>
      <c r="D36" s="7" t="str">
        <f>VLOOKUP(C36,'ACTIVOS CODIGO'!C:D,2,0)</f>
        <v>ACTIVO DEL TESORO = ACTIVO CORRIENTE</v>
      </c>
      <c r="E36" s="3">
        <v>1</v>
      </c>
      <c r="F36" s="8" t="str">
        <f>VLOOKUP(E36,'ACTIVOS CODIGO'!E:F,2,0)</f>
        <v>ACTIVO DISPONIBLE</v>
      </c>
      <c r="G36" s="19">
        <v>102</v>
      </c>
      <c r="H36" s="10" t="str">
        <f>VLOOKUP(G36,'PUB 21'!$A$1:$B$29,2,0)</f>
        <v>TESORERIA MUNICIPAL</v>
      </c>
      <c r="I36" s="17">
        <v>1</v>
      </c>
      <c r="J36" s="15" t="s">
        <v>7</v>
      </c>
      <c r="K36" s="13">
        <v>1</v>
      </c>
      <c r="L36" s="14" t="s">
        <v>31</v>
      </c>
      <c r="M36" s="27" t="str">
        <f t="shared" si="2"/>
        <v>1-1-1-10-21-01</v>
      </c>
      <c r="N36" s="27" t="str">
        <f t="shared" si="3"/>
        <v>BANCO PUBLICO</v>
      </c>
      <c r="O36" s="4">
        <f t="shared" si="0"/>
        <v>27</v>
      </c>
      <c r="P36" s="16" t="s">
        <v>49</v>
      </c>
      <c r="Q36" s="4" t="str">
        <f t="shared" si="4"/>
        <v>1-1-1-10-21-01-027</v>
      </c>
      <c r="R36" s="4" t="str">
        <f t="shared" si="1"/>
        <v>PARTIDA POR CERTIFICAR/TRANSITORIAS</v>
      </c>
    </row>
    <row r="37" spans="1:18" x14ac:dyDescent="0.2">
      <c r="A37" s="1">
        <v>1</v>
      </c>
      <c r="B37" s="6" t="str">
        <f>VLOOKUP(A37,'ACTIVOS CODIGO'!A:B,2,0)</f>
        <v>ACTIVO</v>
      </c>
      <c r="C37" s="2">
        <v>1</v>
      </c>
      <c r="D37" s="7" t="str">
        <f>VLOOKUP(C37,'ACTIVOS CODIGO'!C:D,2,0)</f>
        <v>ACTIVO DEL TESORO = ACTIVO CORRIENTE</v>
      </c>
      <c r="E37" s="3">
        <v>1</v>
      </c>
      <c r="F37" s="8" t="str">
        <f>VLOOKUP(E37,'ACTIVOS CODIGO'!E:F,2,0)</f>
        <v>ACTIVO DISPONIBLE</v>
      </c>
      <c r="G37" s="19">
        <v>102</v>
      </c>
      <c r="H37" s="10" t="str">
        <f>VLOOKUP(G37,'PUB 21'!$A$1:$B$29,2,0)</f>
        <v>TESORERIA MUNICIPAL</v>
      </c>
      <c r="I37" s="17">
        <v>1</v>
      </c>
      <c r="J37" s="15" t="s">
        <v>7</v>
      </c>
      <c r="K37" s="13">
        <v>1</v>
      </c>
      <c r="L37" s="14" t="s">
        <v>31</v>
      </c>
      <c r="M37" s="27" t="str">
        <f t="shared" si="2"/>
        <v>1-1-1-10-21-01</v>
      </c>
      <c r="N37" s="27" t="str">
        <f t="shared" si="3"/>
        <v>BANCO PUBLICO</v>
      </c>
      <c r="O37" s="4">
        <f t="shared" si="0"/>
        <v>28</v>
      </c>
      <c r="P37" s="16" t="s">
        <v>49</v>
      </c>
      <c r="Q37" s="4" t="str">
        <f t="shared" si="4"/>
        <v>1-1-1-10-21-01-028</v>
      </c>
      <c r="R37" s="4" t="str">
        <f t="shared" si="1"/>
        <v>PARTIDA POR CERTIFICAR/TRANSITORIAS</v>
      </c>
    </row>
    <row r="38" spans="1:18" x14ac:dyDescent="0.2">
      <c r="A38" s="1">
        <v>1</v>
      </c>
      <c r="B38" s="6" t="str">
        <f>VLOOKUP(A38,'ACTIVOS CODIGO'!A:B,2,0)</f>
        <v>ACTIVO</v>
      </c>
      <c r="C38" s="2">
        <v>1</v>
      </c>
      <c r="D38" s="7" t="str">
        <f>VLOOKUP(C38,'ACTIVOS CODIGO'!C:D,2,0)</f>
        <v>ACTIVO DEL TESORO = ACTIVO CORRIENTE</v>
      </c>
      <c r="E38" s="3">
        <v>1</v>
      </c>
      <c r="F38" s="8" t="str">
        <f>VLOOKUP(E38,'ACTIVOS CODIGO'!E:F,2,0)</f>
        <v>ACTIVO DISPONIBLE</v>
      </c>
      <c r="G38" s="19">
        <v>102</v>
      </c>
      <c r="H38" s="10" t="str">
        <f>VLOOKUP(G38,'PUB 21'!$A$1:$B$29,2,0)</f>
        <v>TESORERIA MUNICIPAL</v>
      </c>
      <c r="I38" s="17">
        <v>1</v>
      </c>
      <c r="J38" s="15" t="s">
        <v>7</v>
      </c>
      <c r="K38" s="13">
        <v>1</v>
      </c>
      <c r="L38" s="14" t="s">
        <v>31</v>
      </c>
      <c r="M38" s="27" t="str">
        <f t="shared" si="2"/>
        <v>1-1-1-10-21-01</v>
      </c>
      <c r="N38" s="27" t="str">
        <f t="shared" si="3"/>
        <v>BANCO PUBLICO</v>
      </c>
      <c r="O38" s="4">
        <f t="shared" si="0"/>
        <v>29</v>
      </c>
      <c r="P38" s="16" t="s">
        <v>50</v>
      </c>
      <c r="Q38" s="4" t="str">
        <f t="shared" si="4"/>
        <v>1-1-1-10-21-01-029</v>
      </c>
      <c r="R38" s="4" t="str">
        <f t="shared" si="1"/>
        <v>PARTIDAS POR CERTIFICAR IMCP 816</v>
      </c>
    </row>
    <row r="39" spans="1:18" x14ac:dyDescent="0.2">
      <c r="A39" s="1">
        <v>1</v>
      </c>
      <c r="B39" s="6" t="str">
        <f>VLOOKUP(A39,'ACTIVOS CODIGO'!A:B,2,0)</f>
        <v>ACTIVO</v>
      </c>
      <c r="C39" s="2">
        <v>1</v>
      </c>
      <c r="D39" s="7" t="str">
        <f>VLOOKUP(C39,'ACTIVOS CODIGO'!C:D,2,0)</f>
        <v>ACTIVO DEL TESORO = ACTIVO CORRIENTE</v>
      </c>
      <c r="E39" s="3">
        <v>1</v>
      </c>
      <c r="F39" s="8" t="str">
        <f>VLOOKUP(E39,'ACTIVOS CODIGO'!E:F,2,0)</f>
        <v>ACTIVO DISPONIBLE</v>
      </c>
      <c r="G39" s="19">
        <v>102</v>
      </c>
      <c r="H39" s="10" t="str">
        <f>VLOOKUP(G39,'PUB 21'!$A$1:$B$29,2,0)</f>
        <v>TESORERIA MUNICIPAL</v>
      </c>
      <c r="I39" s="17">
        <v>1</v>
      </c>
      <c r="J39" s="15" t="s">
        <v>7</v>
      </c>
      <c r="K39" s="13">
        <v>1</v>
      </c>
      <c r="L39" s="14" t="s">
        <v>31</v>
      </c>
      <c r="M39" s="27" t="str">
        <f t="shared" si="2"/>
        <v>1-1-1-10-21-01</v>
      </c>
      <c r="N39" s="27" t="str">
        <f t="shared" si="3"/>
        <v>BANCO PUBLICO</v>
      </c>
      <c r="O39" s="4">
        <f t="shared" si="0"/>
        <v>30</v>
      </c>
      <c r="P39" s="16" t="s">
        <v>51</v>
      </c>
      <c r="Q39" s="4" t="str">
        <f t="shared" si="4"/>
        <v>1-1-1-10-21-01-030</v>
      </c>
      <c r="R39" s="4" t="str">
        <f t="shared" si="1"/>
        <v>PARTIDA POR CERTIFICAR VENEZUELA</v>
      </c>
    </row>
    <row r="40" spans="1:18" x14ac:dyDescent="0.2">
      <c r="A40" s="1">
        <v>1</v>
      </c>
      <c r="B40" s="6" t="str">
        <f>VLOOKUP(A40,'ACTIVOS CODIGO'!A:B,2,0)</f>
        <v>ACTIVO</v>
      </c>
      <c r="C40" s="2">
        <v>1</v>
      </c>
      <c r="D40" s="7" t="str">
        <f>VLOOKUP(C40,'ACTIVOS CODIGO'!C:D,2,0)</f>
        <v>ACTIVO DEL TESORO = ACTIVO CORRIENTE</v>
      </c>
      <c r="E40" s="3">
        <v>1</v>
      </c>
      <c r="F40" s="8" t="str">
        <f>VLOOKUP(E40,'ACTIVOS CODIGO'!E:F,2,0)</f>
        <v>ACTIVO DISPONIBLE</v>
      </c>
      <c r="G40" s="19">
        <v>102</v>
      </c>
      <c r="H40" s="10" t="str">
        <f>VLOOKUP(G40,'PUB 21'!$A$1:$B$29,2,0)</f>
        <v>TESORERIA MUNICIPAL</v>
      </c>
      <c r="I40" s="17">
        <v>1</v>
      </c>
      <c r="J40" s="15" t="s">
        <v>7</v>
      </c>
      <c r="K40" s="13">
        <v>1</v>
      </c>
      <c r="L40" s="14" t="s">
        <v>31</v>
      </c>
      <c r="M40" s="27" t="str">
        <f t="shared" si="2"/>
        <v>1-1-1-10-21-01</v>
      </c>
      <c r="N40" s="27" t="str">
        <f t="shared" si="3"/>
        <v>BANCO PUBLICO</v>
      </c>
      <c r="O40" s="4">
        <f t="shared" si="0"/>
        <v>31</v>
      </c>
      <c r="P40" s="16" t="s">
        <v>52</v>
      </c>
      <c r="Q40" s="4" t="str">
        <f t="shared" si="4"/>
        <v>1-1-1-10-21-01-031</v>
      </c>
      <c r="R40" s="4" t="str">
        <f t="shared" si="1"/>
        <v>PARTIDA POR CERTIFICAR TESORO</v>
      </c>
    </row>
    <row r="41" spans="1:18" x14ac:dyDescent="0.2">
      <c r="A41" s="1">
        <v>1</v>
      </c>
      <c r="B41" s="6" t="str">
        <f>VLOOKUP(A41,'ACTIVOS CODIGO'!A:B,2,0)</f>
        <v>ACTIVO</v>
      </c>
      <c r="C41" s="2">
        <v>1</v>
      </c>
      <c r="D41" s="7" t="str">
        <f>VLOOKUP(C41,'ACTIVOS CODIGO'!C:D,2,0)</f>
        <v>ACTIVO DEL TESORO = ACTIVO CORRIENTE</v>
      </c>
      <c r="E41" s="3">
        <v>1</v>
      </c>
      <c r="F41" s="8" t="str">
        <f>VLOOKUP(E41,'ACTIVOS CODIGO'!E:F,2,0)</f>
        <v>ACTIVO DISPONIBLE</v>
      </c>
      <c r="G41" s="19">
        <v>102</v>
      </c>
      <c r="H41" s="10" t="str">
        <f>VLOOKUP(G41,'PUB 21'!$A$1:$B$29,2,0)</f>
        <v>TESORERIA MUNICIPAL</v>
      </c>
      <c r="I41" s="17">
        <v>1</v>
      </c>
      <c r="J41" s="15" t="s">
        <v>7</v>
      </c>
      <c r="K41" s="13">
        <v>1</v>
      </c>
      <c r="L41" s="14" t="s">
        <v>31</v>
      </c>
      <c r="M41" s="27" t="str">
        <f t="shared" si="2"/>
        <v>1-1-1-10-21-01</v>
      </c>
      <c r="N41" s="27" t="str">
        <f t="shared" si="3"/>
        <v>BANCO PUBLICO</v>
      </c>
      <c r="O41" s="4">
        <f t="shared" si="0"/>
        <v>32</v>
      </c>
      <c r="P41" s="16" t="s">
        <v>51</v>
      </c>
      <c r="Q41" s="4" t="str">
        <f t="shared" si="4"/>
        <v>1-1-1-10-21-01-032</v>
      </c>
      <c r="R41" s="4" t="str">
        <f t="shared" si="1"/>
        <v>PARTIDA POR CERTIFICAR VENEZUELA</v>
      </c>
    </row>
    <row r="42" spans="1:18" x14ac:dyDescent="0.2">
      <c r="A42" s="1">
        <v>1</v>
      </c>
      <c r="B42" s="6" t="str">
        <f>VLOOKUP(A42,'ACTIVOS CODIGO'!A:B,2,0)</f>
        <v>ACTIVO</v>
      </c>
      <c r="C42" s="2">
        <v>1</v>
      </c>
      <c r="D42" s="7" t="str">
        <f>VLOOKUP(C42,'ACTIVOS CODIGO'!C:D,2,0)</f>
        <v>ACTIVO DEL TESORO = ACTIVO CORRIENTE</v>
      </c>
      <c r="E42" s="3">
        <v>1</v>
      </c>
      <c r="F42" s="8" t="str">
        <f>VLOOKUP(E42,'ACTIVOS CODIGO'!E:F,2,0)</f>
        <v>ACTIVO DISPONIBLE</v>
      </c>
      <c r="G42" s="19">
        <v>102</v>
      </c>
      <c r="H42" s="10" t="str">
        <f>VLOOKUP(G42,'PUB 21'!$A$1:$B$29,2,0)</f>
        <v>TESORERIA MUNICIPAL</v>
      </c>
      <c r="I42" s="17">
        <v>1</v>
      </c>
      <c r="J42" s="15" t="s">
        <v>7</v>
      </c>
      <c r="K42" s="13">
        <v>1</v>
      </c>
      <c r="L42" s="14" t="s">
        <v>31</v>
      </c>
      <c r="M42" s="27" t="str">
        <f t="shared" si="2"/>
        <v>1-1-1-10-21-01</v>
      </c>
      <c r="N42" s="27" t="str">
        <f t="shared" si="3"/>
        <v>BANCO PUBLICO</v>
      </c>
      <c r="O42" s="4">
        <f t="shared" si="0"/>
        <v>33</v>
      </c>
      <c r="P42" s="16" t="s">
        <v>53</v>
      </c>
      <c r="Q42" s="4" t="str">
        <f t="shared" si="4"/>
        <v>1-1-1-10-21-01-033</v>
      </c>
      <c r="R42" s="4" t="str">
        <f t="shared" si="1"/>
        <v>PAERTIDA POR CERTIFICAR IMCP 0014098545</v>
      </c>
    </row>
    <row r="43" spans="1:18" x14ac:dyDescent="0.2">
      <c r="A43" s="1">
        <v>1</v>
      </c>
      <c r="B43" s="6" t="str">
        <f>VLOOKUP(A43,'ACTIVOS CODIGO'!A:B,2,0)</f>
        <v>ACTIVO</v>
      </c>
      <c r="C43" s="2">
        <v>1</v>
      </c>
      <c r="D43" s="7" t="str">
        <f>VLOOKUP(C43,'ACTIVOS CODIGO'!C:D,2,0)</f>
        <v>ACTIVO DEL TESORO = ACTIVO CORRIENTE</v>
      </c>
      <c r="E43" s="3">
        <v>1</v>
      </c>
      <c r="F43" s="8" t="str">
        <f>VLOOKUP(E43,'ACTIVOS CODIGO'!E:F,2,0)</f>
        <v>ACTIVO DISPONIBLE</v>
      </c>
      <c r="G43" s="19">
        <v>102</v>
      </c>
      <c r="H43" s="10" t="str">
        <f>VLOOKUP(G43,'PUB 21'!$A$1:$B$29,2,0)</f>
        <v>TESORERIA MUNICIPAL</v>
      </c>
      <c r="I43" s="17">
        <v>1</v>
      </c>
      <c r="J43" s="15" t="s">
        <v>7</v>
      </c>
      <c r="K43" s="13">
        <v>1</v>
      </c>
      <c r="L43" s="14" t="s">
        <v>31</v>
      </c>
      <c r="M43" s="27" t="str">
        <f t="shared" si="2"/>
        <v>1-1-1-10-21-01</v>
      </c>
      <c r="N43" s="27" t="str">
        <f t="shared" si="3"/>
        <v>BANCO PUBLICO</v>
      </c>
      <c r="O43" s="4">
        <f t="shared" si="0"/>
        <v>34</v>
      </c>
      <c r="P43" s="16" t="s">
        <v>54</v>
      </c>
      <c r="Q43" s="4" t="str">
        <f t="shared" si="4"/>
        <v>1-1-1-10-21-01-034</v>
      </c>
      <c r="R43" s="4" t="str">
        <f t="shared" si="1"/>
        <v>PARTIDA POR CERTIFICAR IMCP 98628</v>
      </c>
    </row>
    <row r="44" spans="1:18" x14ac:dyDescent="0.2">
      <c r="A44" s="1">
        <v>1</v>
      </c>
      <c r="B44" s="6" t="str">
        <f>VLOOKUP(A44,'ACTIVOS CODIGO'!A:B,2,0)</f>
        <v>ACTIVO</v>
      </c>
      <c r="C44" s="2">
        <v>1</v>
      </c>
      <c r="D44" s="7" t="str">
        <f>VLOOKUP(C44,'ACTIVOS CODIGO'!C:D,2,0)</f>
        <v>ACTIVO DEL TESORO = ACTIVO CORRIENTE</v>
      </c>
      <c r="E44" s="3">
        <v>1</v>
      </c>
      <c r="F44" s="8" t="str">
        <f>VLOOKUP(E44,'ACTIVOS CODIGO'!E:F,2,0)</f>
        <v>ACTIVO DISPONIBLE</v>
      </c>
      <c r="G44" s="19">
        <v>102</v>
      </c>
      <c r="H44" s="10" t="str">
        <f>VLOOKUP(G44,'PUB 21'!$A$1:$B$29,2,0)</f>
        <v>TESORERIA MUNICIPAL</v>
      </c>
      <c r="I44" s="17">
        <v>1</v>
      </c>
      <c r="J44" s="15" t="s">
        <v>7</v>
      </c>
      <c r="K44" s="13">
        <v>1</v>
      </c>
      <c r="L44" s="14" t="s">
        <v>31</v>
      </c>
      <c r="M44" s="27" t="str">
        <f t="shared" si="2"/>
        <v>1-1-1-10-21-01</v>
      </c>
      <c r="N44" s="27" t="str">
        <f t="shared" si="3"/>
        <v>BANCO PUBLICO</v>
      </c>
      <c r="O44" s="4">
        <f t="shared" si="0"/>
        <v>35</v>
      </c>
      <c r="P44" s="16" t="s">
        <v>55</v>
      </c>
      <c r="Q44" s="4" t="str">
        <f t="shared" si="4"/>
        <v>1-1-1-10-21-01-035</v>
      </c>
      <c r="R44" s="4" t="str">
        <f t="shared" si="1"/>
        <v>PARTIDA POR CERTIFICAR VZLA 59226</v>
      </c>
    </row>
    <row r="45" spans="1:18" x14ac:dyDescent="0.2">
      <c r="A45" s="1">
        <v>1</v>
      </c>
      <c r="B45" s="6" t="str">
        <f>VLOOKUP(A45,'ACTIVOS CODIGO'!A:B,2,0)</f>
        <v>ACTIVO</v>
      </c>
      <c r="C45" s="2">
        <v>1</v>
      </c>
      <c r="D45" s="7" t="str">
        <f>VLOOKUP(C45,'ACTIVOS CODIGO'!C:D,2,0)</f>
        <v>ACTIVO DEL TESORO = ACTIVO CORRIENTE</v>
      </c>
      <c r="E45" s="3">
        <v>1</v>
      </c>
      <c r="F45" s="8" t="str">
        <f>VLOOKUP(E45,'ACTIVOS CODIGO'!E:F,2,0)</f>
        <v>ACTIVO DISPONIBLE</v>
      </c>
      <c r="G45" s="19">
        <v>102</v>
      </c>
      <c r="H45" s="10" t="str">
        <f>VLOOKUP(G45,'PUB 21'!$A$1:$B$29,2,0)</f>
        <v>TESORERIA MUNICIPAL</v>
      </c>
      <c r="I45" s="17">
        <v>1</v>
      </c>
      <c r="J45" s="15" t="s">
        <v>7</v>
      </c>
      <c r="K45" s="13">
        <v>1</v>
      </c>
      <c r="L45" s="14" t="s">
        <v>31</v>
      </c>
      <c r="M45" s="27" t="str">
        <f t="shared" si="2"/>
        <v>1-1-1-10-21-01</v>
      </c>
      <c r="N45" s="27" t="str">
        <f t="shared" si="3"/>
        <v>BANCO PUBLICO</v>
      </c>
      <c r="O45" s="4">
        <f t="shared" si="0"/>
        <v>36</v>
      </c>
      <c r="P45" s="16" t="s">
        <v>56</v>
      </c>
      <c r="Q45" s="4" t="str">
        <f t="shared" si="4"/>
        <v>1-1-1-10-21-01-036</v>
      </c>
      <c r="R45" s="4" t="str">
        <f t="shared" si="1"/>
        <v>PATIDAS POR CERTIFICAR Y O/P EN TRANSITOS</v>
      </c>
    </row>
    <row r="46" spans="1:18" x14ac:dyDescent="0.2">
      <c r="A46" s="1">
        <v>1</v>
      </c>
      <c r="B46" s="6" t="str">
        <f>VLOOKUP(A46,'ACTIVOS CODIGO'!A:B,2,0)</f>
        <v>ACTIVO</v>
      </c>
      <c r="C46" s="2">
        <v>1</v>
      </c>
      <c r="D46" s="7" t="str">
        <f>VLOOKUP(C46,'ACTIVOS CODIGO'!C:D,2,0)</f>
        <v>ACTIVO DEL TESORO = ACTIVO CORRIENTE</v>
      </c>
      <c r="E46" s="3">
        <v>1</v>
      </c>
      <c r="F46" s="8" t="str">
        <f>VLOOKUP(E46,'ACTIVOS CODIGO'!E:F,2,0)</f>
        <v>ACTIVO DISPONIBLE</v>
      </c>
      <c r="G46" s="19">
        <v>102</v>
      </c>
      <c r="H46" s="10" t="str">
        <f>VLOOKUP(G46,'PUB 21'!$A$1:$B$29,2,0)</f>
        <v>TESORERIA MUNICIPAL</v>
      </c>
      <c r="I46" s="17">
        <v>1</v>
      </c>
      <c r="J46" s="15" t="s">
        <v>7</v>
      </c>
      <c r="K46" s="13">
        <v>1</v>
      </c>
      <c r="L46" s="14" t="s">
        <v>31</v>
      </c>
      <c r="M46" s="27" t="str">
        <f t="shared" si="2"/>
        <v>1-1-1-10-21-01</v>
      </c>
      <c r="N46" s="27" t="str">
        <f t="shared" si="3"/>
        <v>BANCO PUBLICO</v>
      </c>
      <c r="O46" s="4">
        <f t="shared" si="0"/>
        <v>37</v>
      </c>
      <c r="P46" s="16" t="s">
        <v>56</v>
      </c>
      <c r="Q46" s="4" t="str">
        <f t="shared" si="4"/>
        <v>1-1-1-10-21-01-037</v>
      </c>
      <c r="R46" s="4" t="str">
        <f t="shared" si="1"/>
        <v>PATIDAS POR CERTIFICAR Y O/P EN TRANSITOS</v>
      </c>
    </row>
    <row r="47" spans="1:18" x14ac:dyDescent="0.2">
      <c r="A47" s="1">
        <v>1</v>
      </c>
      <c r="B47" s="6" t="str">
        <f>VLOOKUP(A47,'ACTIVOS CODIGO'!A:B,2,0)</f>
        <v>ACTIVO</v>
      </c>
      <c r="C47" s="2">
        <v>1</v>
      </c>
      <c r="D47" s="7" t="str">
        <f>VLOOKUP(C47,'ACTIVOS CODIGO'!C:D,2,0)</f>
        <v>ACTIVO DEL TESORO = ACTIVO CORRIENTE</v>
      </c>
      <c r="E47" s="3">
        <v>1</v>
      </c>
      <c r="F47" s="8" t="str">
        <f>VLOOKUP(E47,'ACTIVOS CODIGO'!E:F,2,0)</f>
        <v>ACTIVO DISPONIBLE</v>
      </c>
      <c r="G47" s="19">
        <v>102</v>
      </c>
      <c r="H47" s="10" t="str">
        <f>VLOOKUP(G47,'PUB 21'!$A$1:$B$29,2,0)</f>
        <v>TESORERIA MUNICIPAL</v>
      </c>
      <c r="I47" s="17">
        <v>1</v>
      </c>
      <c r="J47" s="15" t="s">
        <v>7</v>
      </c>
      <c r="K47" s="13">
        <v>1</v>
      </c>
      <c r="L47" s="14" t="s">
        <v>31</v>
      </c>
      <c r="M47" s="27" t="str">
        <f t="shared" si="2"/>
        <v>1-1-1-10-21-01</v>
      </c>
      <c r="N47" s="27" t="str">
        <f t="shared" si="3"/>
        <v>BANCO PUBLICO</v>
      </c>
      <c r="O47" s="4">
        <f t="shared" si="0"/>
        <v>38</v>
      </c>
      <c r="P47" s="16" t="s">
        <v>56</v>
      </c>
      <c r="Q47" s="4" t="str">
        <f t="shared" si="4"/>
        <v>1-1-1-10-21-01-038</v>
      </c>
      <c r="R47" s="4" t="str">
        <f t="shared" si="1"/>
        <v>PATIDAS POR CERTIFICAR Y O/P EN TRANSITOS</v>
      </c>
    </row>
    <row r="48" spans="1:18" x14ac:dyDescent="0.2">
      <c r="A48" s="1">
        <v>1</v>
      </c>
      <c r="B48" s="6" t="str">
        <f>VLOOKUP(A48,'ACTIVOS CODIGO'!A:B,2,0)</f>
        <v>ACTIVO</v>
      </c>
      <c r="C48" s="2">
        <v>1</v>
      </c>
      <c r="D48" s="7" t="str">
        <f>VLOOKUP(C48,'ACTIVOS CODIGO'!C:D,2,0)</f>
        <v>ACTIVO DEL TESORO = ACTIVO CORRIENTE</v>
      </c>
      <c r="E48" s="3">
        <v>1</v>
      </c>
      <c r="F48" s="8" t="str">
        <f>VLOOKUP(E48,'ACTIVOS CODIGO'!E:F,2,0)</f>
        <v>ACTIVO DISPONIBLE</v>
      </c>
      <c r="G48" s="19">
        <v>102</v>
      </c>
      <c r="H48" s="10" t="str">
        <f>VLOOKUP(G48,'PUB 21'!$A$1:$B$29,2,0)</f>
        <v>TESORERIA MUNICIPAL</v>
      </c>
      <c r="I48" s="17">
        <v>1</v>
      </c>
      <c r="J48" s="15" t="s">
        <v>7</v>
      </c>
      <c r="K48" s="13">
        <v>1</v>
      </c>
      <c r="L48" s="14" t="s">
        <v>31</v>
      </c>
      <c r="M48" s="27" t="str">
        <f t="shared" si="2"/>
        <v>1-1-1-10-21-01</v>
      </c>
      <c r="N48" s="27" t="str">
        <f t="shared" si="3"/>
        <v>BANCO PUBLICO</v>
      </c>
      <c r="O48" s="4">
        <f t="shared" si="0"/>
        <v>39</v>
      </c>
      <c r="P48" s="16" t="s">
        <v>56</v>
      </c>
      <c r="Q48" s="4" t="str">
        <f t="shared" si="4"/>
        <v>1-1-1-10-21-01-039</v>
      </c>
      <c r="R48" s="4" t="str">
        <f t="shared" si="1"/>
        <v>PATIDAS POR CERTIFICAR Y O/P EN TRANSITOS</v>
      </c>
    </row>
    <row r="49" spans="1:18" x14ac:dyDescent="0.2">
      <c r="A49" s="1">
        <v>1</v>
      </c>
      <c r="B49" s="6" t="str">
        <f>VLOOKUP(A49,'ACTIVOS CODIGO'!A:B,2,0)</f>
        <v>ACTIVO</v>
      </c>
      <c r="C49" s="2">
        <v>1</v>
      </c>
      <c r="D49" s="7" t="str">
        <f>VLOOKUP(C49,'ACTIVOS CODIGO'!C:D,2,0)</f>
        <v>ACTIVO DEL TESORO = ACTIVO CORRIENTE</v>
      </c>
      <c r="E49" s="3">
        <v>1</v>
      </c>
      <c r="F49" s="8" t="str">
        <f>VLOOKUP(E49,'ACTIVOS CODIGO'!E:F,2,0)</f>
        <v>ACTIVO DISPONIBLE</v>
      </c>
      <c r="G49" s="19">
        <v>102</v>
      </c>
      <c r="H49" s="10" t="str">
        <f>VLOOKUP(G49,'PUB 21'!$A$1:$B$29,2,0)</f>
        <v>TESORERIA MUNICIPAL</v>
      </c>
      <c r="I49" s="17">
        <v>1</v>
      </c>
      <c r="J49" s="15" t="s">
        <v>7</v>
      </c>
      <c r="K49" s="13">
        <v>1</v>
      </c>
      <c r="L49" s="14" t="s">
        <v>31</v>
      </c>
      <c r="M49" s="27" t="str">
        <f t="shared" si="2"/>
        <v>1-1-1-10-21-01</v>
      </c>
      <c r="N49" s="27" t="str">
        <f t="shared" si="3"/>
        <v>BANCO PUBLICO</v>
      </c>
      <c r="O49" s="4">
        <f t="shared" si="0"/>
        <v>40</v>
      </c>
      <c r="P49" s="16" t="s">
        <v>51</v>
      </c>
      <c r="Q49" s="4" t="str">
        <f t="shared" si="4"/>
        <v>1-1-1-10-21-01-040</v>
      </c>
      <c r="R49" s="4" t="str">
        <f t="shared" si="1"/>
        <v>PARTIDA POR CERTIFICAR VENEZUELA</v>
      </c>
    </row>
    <row r="50" spans="1:18" x14ac:dyDescent="0.2">
      <c r="A50" s="1">
        <v>1</v>
      </c>
      <c r="B50" s="6" t="str">
        <f>VLOOKUP(A50,'ACTIVOS CODIGO'!A:B,2,0)</f>
        <v>ACTIVO</v>
      </c>
      <c r="C50" s="2">
        <v>1</v>
      </c>
      <c r="D50" s="7" t="str">
        <f>VLOOKUP(C50,'ACTIVOS CODIGO'!C:D,2,0)</f>
        <v>ACTIVO DEL TESORO = ACTIVO CORRIENTE</v>
      </c>
      <c r="E50" s="3">
        <v>1</v>
      </c>
      <c r="F50" s="8" t="str">
        <f>VLOOKUP(E50,'ACTIVOS CODIGO'!E:F,2,0)</f>
        <v>ACTIVO DISPONIBLE</v>
      </c>
      <c r="G50" s="19">
        <v>102</v>
      </c>
      <c r="H50" s="10" t="str">
        <f>VLOOKUP(G50,'PUB 21'!$A$1:$B$29,2,0)</f>
        <v>TESORERIA MUNICIPAL</v>
      </c>
      <c r="I50" s="17">
        <v>1</v>
      </c>
      <c r="J50" s="15" t="s">
        <v>7</v>
      </c>
      <c r="K50" s="13">
        <v>2</v>
      </c>
      <c r="L50" s="14" t="s">
        <v>71</v>
      </c>
      <c r="M50" s="27" t="str">
        <f t="shared" ref="M50" si="5">CONCATENATE(TEXT(A50,"0"),"-",TEXT(C50,"0"),"-",TEXT(E50,"0"),"-",TEXT(LEFT(G50,2),"00"),"-",TEXT(RIGHT(G50,1),"0"),TEXT(I50,"0"),"-",TEXT(K50,"00"))</f>
        <v>1-1-1-10-21-02</v>
      </c>
      <c r="N50" s="27" t="str">
        <f t="shared" ref="N50" si="6">IF(L50="",IF(J50="",IF(H50="",IF(F50="",IF(D50="",B50,D50),F50),H50),J50),L50)</f>
        <v>BANCO PRIVADO</v>
      </c>
      <c r="O50" s="4">
        <f t="shared" si="0"/>
        <v>0</v>
      </c>
      <c r="P50" s="16"/>
      <c r="Q50" s="4" t="str">
        <f t="shared" si="4"/>
        <v>1-1-1-10-21-02-000</v>
      </c>
      <c r="R50" s="4" t="str">
        <f t="shared" si="1"/>
        <v>BANCO PRIVADO</v>
      </c>
    </row>
    <row r="51" spans="1:18" x14ac:dyDescent="0.2">
      <c r="A51" s="1">
        <v>1</v>
      </c>
      <c r="B51" s="6" t="str">
        <f>VLOOKUP(A51,'ACTIVOS CODIGO'!A:B,2,0)</f>
        <v>ACTIVO</v>
      </c>
      <c r="C51" s="2">
        <v>1</v>
      </c>
      <c r="D51" s="7" t="str">
        <f>VLOOKUP(C51,'ACTIVOS CODIGO'!C:D,2,0)</f>
        <v>ACTIVO DEL TESORO = ACTIVO CORRIENTE</v>
      </c>
      <c r="E51" s="3">
        <v>1</v>
      </c>
      <c r="F51" s="8" t="str">
        <f>VLOOKUP(E51,'ACTIVOS CODIGO'!E:F,2,0)</f>
        <v>ACTIVO DISPONIBLE</v>
      </c>
      <c r="G51" s="19">
        <v>102</v>
      </c>
      <c r="H51" s="10" t="str">
        <f>VLOOKUP(G51,'PUB 21'!$A$1:$B$29,2,0)</f>
        <v>TESORERIA MUNICIPAL</v>
      </c>
      <c r="I51" s="17">
        <v>1</v>
      </c>
      <c r="J51" s="15" t="s">
        <v>7</v>
      </c>
      <c r="K51" s="13">
        <v>2</v>
      </c>
      <c r="L51" s="14" t="s">
        <v>71</v>
      </c>
      <c r="M51" s="27" t="str">
        <f t="shared" si="2"/>
        <v>1-1-1-10-21-02</v>
      </c>
      <c r="N51" s="27" t="str">
        <f t="shared" si="3"/>
        <v>BANCO PRIVADO</v>
      </c>
      <c r="O51" s="4">
        <f t="shared" si="0"/>
        <v>1</v>
      </c>
      <c r="P51" s="16" t="s">
        <v>10</v>
      </c>
      <c r="Q51" s="4" t="str">
        <f t="shared" si="4"/>
        <v>1-1-1-10-21-02-001</v>
      </c>
      <c r="R51" s="4" t="str">
        <f t="shared" si="1"/>
        <v>BANESCO 0134-0031-89-0311159052</v>
      </c>
    </row>
    <row r="52" spans="1:18" x14ac:dyDescent="0.2">
      <c r="A52" s="1">
        <v>1</v>
      </c>
      <c r="B52" s="6" t="str">
        <f>VLOOKUP(A52,'ACTIVOS CODIGO'!A:B,2,0)</f>
        <v>ACTIVO</v>
      </c>
      <c r="C52" s="2">
        <v>1</v>
      </c>
      <c r="D52" s="7" t="str">
        <f>VLOOKUP(C52,'ACTIVOS CODIGO'!C:D,2,0)</f>
        <v>ACTIVO DEL TESORO = ACTIVO CORRIENTE</v>
      </c>
      <c r="E52" s="3">
        <v>1</v>
      </c>
      <c r="F52" s="8" t="str">
        <f>VLOOKUP(E52,'ACTIVOS CODIGO'!E:F,2,0)</f>
        <v>ACTIVO DISPONIBLE</v>
      </c>
      <c r="G52" s="19">
        <v>102</v>
      </c>
      <c r="H52" s="10" t="str">
        <f>VLOOKUP(G52,'PUB 21'!$A$1:$B$29,2,0)</f>
        <v>TESORERIA MUNICIPAL</v>
      </c>
      <c r="I52" s="17">
        <v>1</v>
      </c>
      <c r="J52" s="15" t="s">
        <v>7</v>
      </c>
      <c r="K52" s="13">
        <v>2</v>
      </c>
      <c r="L52" s="14" t="s">
        <v>71</v>
      </c>
      <c r="M52" s="27" t="str">
        <f t="shared" si="2"/>
        <v>1-1-1-10-21-02</v>
      </c>
      <c r="N52" s="27" t="str">
        <f t="shared" si="3"/>
        <v>BANCO PRIVADO</v>
      </c>
      <c r="O52" s="4">
        <f t="shared" si="0"/>
        <v>2</v>
      </c>
      <c r="P52" s="16" t="s">
        <v>11</v>
      </c>
      <c r="Q52" s="4" t="str">
        <f t="shared" si="4"/>
        <v>1-1-1-10-21-02-002</v>
      </c>
      <c r="R52" s="4" t="str">
        <f t="shared" si="1"/>
        <v>B.O.D. 0116-0032-85-0028290615</v>
      </c>
    </row>
    <row r="53" spans="1:18" x14ac:dyDescent="0.2">
      <c r="A53" s="1">
        <v>1</v>
      </c>
      <c r="B53" s="6" t="str">
        <f>VLOOKUP(A53,'ACTIVOS CODIGO'!A:B,2,0)</f>
        <v>ACTIVO</v>
      </c>
      <c r="C53" s="2">
        <v>1</v>
      </c>
      <c r="D53" s="7" t="str">
        <f>VLOOKUP(C53,'ACTIVOS CODIGO'!C:D,2,0)</f>
        <v>ACTIVO DEL TESORO = ACTIVO CORRIENTE</v>
      </c>
      <c r="E53" s="3">
        <v>1</v>
      </c>
      <c r="F53" s="8" t="str">
        <f>VLOOKUP(E53,'ACTIVOS CODIGO'!E:F,2,0)</f>
        <v>ACTIVO DISPONIBLE</v>
      </c>
      <c r="G53" s="19">
        <v>102</v>
      </c>
      <c r="H53" s="10" t="str">
        <f>VLOOKUP(G53,'PUB 21'!$A$1:$B$29,2,0)</f>
        <v>TESORERIA MUNICIPAL</v>
      </c>
      <c r="I53" s="17">
        <v>1</v>
      </c>
      <c r="J53" s="15" t="s">
        <v>7</v>
      </c>
      <c r="K53" s="13">
        <v>2</v>
      </c>
      <c r="L53" s="14" t="s">
        <v>71</v>
      </c>
      <c r="M53" s="27" t="str">
        <f t="shared" si="2"/>
        <v>1-1-1-10-21-02</v>
      </c>
      <c r="N53" s="27" t="str">
        <f t="shared" si="3"/>
        <v>BANCO PRIVADO</v>
      </c>
      <c r="O53" s="4">
        <f t="shared" si="0"/>
        <v>3</v>
      </c>
      <c r="P53" s="16" t="s">
        <v>12</v>
      </c>
      <c r="Q53" s="4" t="str">
        <f t="shared" si="4"/>
        <v>1-1-1-10-21-02-003</v>
      </c>
      <c r="R53" s="4" t="str">
        <f t="shared" si="1"/>
        <v>PROVINCIAL 0108-0582-21-9010005000</v>
      </c>
    </row>
    <row r="54" spans="1:18" x14ac:dyDescent="0.2">
      <c r="A54" s="1">
        <v>1</v>
      </c>
      <c r="B54" s="6" t="str">
        <f>VLOOKUP(A54,'ACTIVOS CODIGO'!A:B,2,0)</f>
        <v>ACTIVO</v>
      </c>
      <c r="C54" s="2">
        <v>1</v>
      </c>
      <c r="D54" s="7" t="str">
        <f>VLOOKUP(C54,'ACTIVOS CODIGO'!C:D,2,0)</f>
        <v>ACTIVO DEL TESORO = ACTIVO CORRIENTE</v>
      </c>
      <c r="E54" s="3">
        <v>1</v>
      </c>
      <c r="F54" s="8" t="str">
        <f>VLOOKUP(E54,'ACTIVOS CODIGO'!E:F,2,0)</f>
        <v>ACTIVO DISPONIBLE</v>
      </c>
      <c r="G54" s="19">
        <v>102</v>
      </c>
      <c r="H54" s="10" t="str">
        <f>VLOOKUP(G54,'PUB 21'!$A$1:$B$29,2,0)</f>
        <v>TESORERIA MUNICIPAL</v>
      </c>
      <c r="I54" s="17">
        <v>1</v>
      </c>
      <c r="J54" s="15" t="s">
        <v>7</v>
      </c>
      <c r="K54" s="13">
        <v>2</v>
      </c>
      <c r="L54" s="14" t="s">
        <v>71</v>
      </c>
      <c r="M54" s="27" t="str">
        <f t="shared" si="2"/>
        <v>1-1-1-10-21-02</v>
      </c>
      <c r="N54" s="27" t="str">
        <f t="shared" si="3"/>
        <v>BANCO PRIVADO</v>
      </c>
      <c r="O54" s="4">
        <f t="shared" si="0"/>
        <v>4</v>
      </c>
      <c r="P54" s="16" t="s">
        <v>15</v>
      </c>
      <c r="Q54" s="4" t="str">
        <f t="shared" si="4"/>
        <v>1-1-1-10-21-02-004</v>
      </c>
      <c r="R54" s="4" t="str">
        <f t="shared" si="1"/>
        <v>FONDO COMUN 0151-0100-85-3000872449</v>
      </c>
    </row>
    <row r="55" spans="1:18" x14ac:dyDescent="0.2">
      <c r="A55" s="1">
        <v>1</v>
      </c>
      <c r="B55" s="6" t="str">
        <f>VLOOKUP(A55,'ACTIVOS CODIGO'!A:B,2,0)</f>
        <v>ACTIVO</v>
      </c>
      <c r="C55" s="2">
        <v>1</v>
      </c>
      <c r="D55" s="7" t="str">
        <f>VLOOKUP(C55,'ACTIVOS CODIGO'!C:D,2,0)</f>
        <v>ACTIVO DEL TESORO = ACTIVO CORRIENTE</v>
      </c>
      <c r="E55" s="3">
        <v>1</v>
      </c>
      <c r="F55" s="8" t="str">
        <f>VLOOKUP(E55,'ACTIVOS CODIGO'!E:F,2,0)</f>
        <v>ACTIVO DISPONIBLE</v>
      </c>
      <c r="G55" s="19">
        <v>102</v>
      </c>
      <c r="H55" s="10" t="str">
        <f>VLOOKUP(G55,'PUB 21'!$A$1:$B$29,2,0)</f>
        <v>TESORERIA MUNICIPAL</v>
      </c>
      <c r="I55" s="17">
        <v>1</v>
      </c>
      <c r="J55" s="15" t="s">
        <v>7</v>
      </c>
      <c r="K55" s="13">
        <v>2</v>
      </c>
      <c r="L55" s="14" t="s">
        <v>71</v>
      </c>
      <c r="M55" s="27" t="str">
        <f t="shared" si="2"/>
        <v>1-1-1-10-21-02</v>
      </c>
      <c r="N55" s="27" t="str">
        <f t="shared" si="3"/>
        <v>BANCO PRIVADO</v>
      </c>
      <c r="O55" s="4">
        <f t="shared" si="0"/>
        <v>5</v>
      </c>
      <c r="P55" s="16" t="s">
        <v>16</v>
      </c>
      <c r="Q55" s="4" t="str">
        <f t="shared" si="4"/>
        <v>1-1-1-10-21-02-005</v>
      </c>
      <c r="R55" s="4" t="str">
        <f t="shared" si="1"/>
        <v>0102-0762-210000050322</v>
      </c>
    </row>
    <row r="56" spans="1:18" x14ac:dyDescent="0.2">
      <c r="A56" s="1">
        <v>1</v>
      </c>
      <c r="B56" s="6" t="str">
        <f>VLOOKUP(A56,'ACTIVOS CODIGO'!A:B,2,0)</f>
        <v>ACTIVO</v>
      </c>
      <c r="C56" s="2">
        <v>1</v>
      </c>
      <c r="D56" s="7" t="str">
        <f>VLOOKUP(C56,'ACTIVOS CODIGO'!C:D,2,0)</f>
        <v>ACTIVO DEL TESORO = ACTIVO CORRIENTE</v>
      </c>
      <c r="E56" s="3">
        <v>1</v>
      </c>
      <c r="F56" s="8" t="str">
        <f>VLOOKUP(E56,'ACTIVOS CODIGO'!E:F,2,0)</f>
        <v>ACTIVO DISPONIBLE</v>
      </c>
      <c r="G56" s="19">
        <v>102</v>
      </c>
      <c r="H56" s="10" t="str">
        <f>VLOOKUP(G56,'PUB 21'!$A$1:$B$29,2,0)</f>
        <v>TESORERIA MUNICIPAL</v>
      </c>
      <c r="I56" s="17">
        <v>1</v>
      </c>
      <c r="J56" s="15" t="s">
        <v>7</v>
      </c>
      <c r="K56" s="13">
        <v>2</v>
      </c>
      <c r="L56" s="14" t="s">
        <v>71</v>
      </c>
      <c r="M56" s="27" t="str">
        <f t="shared" si="2"/>
        <v>1-1-1-10-21-02</v>
      </c>
      <c r="N56" s="27" t="str">
        <f t="shared" si="3"/>
        <v>BANCO PRIVADO</v>
      </c>
      <c r="O56" s="4">
        <f t="shared" si="0"/>
        <v>6</v>
      </c>
      <c r="P56" s="16" t="s">
        <v>17</v>
      </c>
      <c r="Q56" s="4" t="str">
        <f t="shared" si="4"/>
        <v>1-1-1-10-21-02-006</v>
      </c>
      <c r="R56" s="4" t="str">
        <f t="shared" si="1"/>
        <v>I.M.C.P 0601-0001-21-0014098545</v>
      </c>
    </row>
    <row r="57" spans="1:18" x14ac:dyDescent="0.2">
      <c r="A57" s="1">
        <v>1</v>
      </c>
      <c r="B57" s="6" t="str">
        <f>VLOOKUP(A57,'ACTIVOS CODIGO'!A:B,2,0)</f>
        <v>ACTIVO</v>
      </c>
      <c r="C57" s="2">
        <v>1</v>
      </c>
      <c r="D57" s="7" t="str">
        <f>VLOOKUP(C57,'ACTIVOS CODIGO'!C:D,2,0)</f>
        <v>ACTIVO DEL TESORO = ACTIVO CORRIENTE</v>
      </c>
      <c r="E57" s="3">
        <v>1</v>
      </c>
      <c r="F57" s="8" t="str">
        <f>VLOOKUP(E57,'ACTIVOS CODIGO'!E:F,2,0)</f>
        <v>ACTIVO DISPONIBLE</v>
      </c>
      <c r="G57" s="19">
        <v>102</v>
      </c>
      <c r="H57" s="10" t="str">
        <f>VLOOKUP(G57,'PUB 21'!$A$1:$B$29,2,0)</f>
        <v>TESORERIA MUNICIPAL</v>
      </c>
      <c r="I57" s="17">
        <v>1</v>
      </c>
      <c r="J57" s="15" t="s">
        <v>7</v>
      </c>
      <c r="K57" s="13">
        <v>2</v>
      </c>
      <c r="L57" s="14" t="s">
        <v>71</v>
      </c>
      <c r="M57" s="27" t="str">
        <f t="shared" si="2"/>
        <v>1-1-1-10-21-02</v>
      </c>
      <c r="N57" s="27" t="str">
        <f t="shared" si="3"/>
        <v>BANCO PRIVADO</v>
      </c>
      <c r="O57" s="4">
        <f t="shared" si="0"/>
        <v>7</v>
      </c>
      <c r="P57" s="16" t="s">
        <v>18</v>
      </c>
      <c r="Q57" s="4" t="str">
        <f t="shared" si="4"/>
        <v>1-1-1-10-21-02-007</v>
      </c>
      <c r="R57" s="4" t="str">
        <f t="shared" si="1"/>
        <v>BNC 01168884</v>
      </c>
    </row>
    <row r="58" spans="1:18" x14ac:dyDescent="0.2">
      <c r="A58" s="1">
        <v>1</v>
      </c>
      <c r="B58" s="6" t="str">
        <f>VLOOKUP(A58,'ACTIVOS CODIGO'!A:B,2,0)</f>
        <v>ACTIVO</v>
      </c>
      <c r="C58" s="2">
        <v>1</v>
      </c>
      <c r="D58" s="7" t="str">
        <f>VLOOKUP(C58,'ACTIVOS CODIGO'!C:D,2,0)</f>
        <v>ACTIVO DEL TESORO = ACTIVO CORRIENTE</v>
      </c>
      <c r="E58" s="3">
        <v>1</v>
      </c>
      <c r="F58" s="8" t="str">
        <f>VLOOKUP(E58,'ACTIVOS CODIGO'!E:F,2,0)</f>
        <v>ACTIVO DISPONIBLE</v>
      </c>
      <c r="G58" s="19">
        <v>102</v>
      </c>
      <c r="H58" s="10" t="str">
        <f>VLOOKUP(G58,'PUB 21'!$A$1:$B$29,2,0)</f>
        <v>TESORERIA MUNICIPAL</v>
      </c>
      <c r="I58" s="17">
        <v>1</v>
      </c>
      <c r="J58" s="15" t="s">
        <v>7</v>
      </c>
      <c r="K58" s="13">
        <v>2</v>
      </c>
      <c r="L58" s="14" t="s">
        <v>71</v>
      </c>
      <c r="M58" s="27" t="str">
        <f t="shared" si="2"/>
        <v>1-1-1-10-21-02</v>
      </c>
      <c r="N58" s="27" t="str">
        <f t="shared" si="3"/>
        <v>BANCO PRIVADO</v>
      </c>
      <c r="O58" s="4">
        <f t="shared" si="0"/>
        <v>8</v>
      </c>
      <c r="P58" s="16" t="s">
        <v>19</v>
      </c>
      <c r="Q58" s="4" t="str">
        <f t="shared" si="4"/>
        <v>1-1-1-10-21-02-008</v>
      </c>
      <c r="R58" s="4" t="str">
        <f t="shared" si="1"/>
        <v>BANCARIBE 0114015977 1590175737</v>
      </c>
    </row>
    <row r="59" spans="1:18" x14ac:dyDescent="0.2">
      <c r="A59" s="1">
        <v>1</v>
      </c>
      <c r="B59" s="6" t="str">
        <f>VLOOKUP(A59,'ACTIVOS CODIGO'!A:B,2,0)</f>
        <v>ACTIVO</v>
      </c>
      <c r="C59" s="2">
        <v>1</v>
      </c>
      <c r="D59" s="7" t="str">
        <f>VLOOKUP(C59,'ACTIVOS CODIGO'!C:D,2,0)</f>
        <v>ACTIVO DEL TESORO = ACTIVO CORRIENTE</v>
      </c>
      <c r="E59" s="3">
        <v>1</v>
      </c>
      <c r="F59" s="8" t="str">
        <f>VLOOKUP(E59,'ACTIVOS CODIGO'!E:F,2,0)</f>
        <v>ACTIVO DISPONIBLE</v>
      </c>
      <c r="G59" s="19">
        <v>102</v>
      </c>
      <c r="H59" s="10" t="str">
        <f>VLOOKUP(G59,'PUB 21'!$A$1:$B$29,2,0)</f>
        <v>TESORERIA MUNICIPAL</v>
      </c>
      <c r="I59" s="17">
        <v>1</v>
      </c>
      <c r="J59" s="15" t="s">
        <v>7</v>
      </c>
      <c r="K59" s="13">
        <v>2</v>
      </c>
      <c r="L59" s="14" t="s">
        <v>71</v>
      </c>
      <c r="M59" s="27" t="str">
        <f t="shared" si="2"/>
        <v>1-1-1-10-21-02</v>
      </c>
      <c r="N59" s="27" t="str">
        <f t="shared" si="3"/>
        <v>BANCO PRIVADO</v>
      </c>
      <c r="O59" s="4">
        <f t="shared" si="0"/>
        <v>9</v>
      </c>
      <c r="P59" s="16" t="s">
        <v>20</v>
      </c>
      <c r="Q59" s="4" t="str">
        <f t="shared" si="4"/>
        <v>1-1-1-10-21-02-009</v>
      </c>
      <c r="R59" s="4" t="str">
        <f t="shared" si="1"/>
        <v>FONDO COMUN 300077149</v>
      </c>
    </row>
    <row r="60" spans="1:18" x14ac:dyDescent="0.2">
      <c r="A60" s="1">
        <v>1</v>
      </c>
      <c r="B60" s="6" t="str">
        <f>VLOOKUP(A60,'ACTIVOS CODIGO'!A:B,2,0)</f>
        <v>ACTIVO</v>
      </c>
      <c r="C60" s="2">
        <v>1</v>
      </c>
      <c r="D60" s="7" t="str">
        <f>VLOOKUP(C60,'ACTIVOS CODIGO'!C:D,2,0)</f>
        <v>ACTIVO DEL TESORO = ACTIVO CORRIENTE</v>
      </c>
      <c r="E60" s="3">
        <v>1</v>
      </c>
      <c r="F60" s="8" t="str">
        <f>VLOOKUP(E60,'ACTIVOS CODIGO'!E:F,2,0)</f>
        <v>ACTIVO DISPONIBLE</v>
      </c>
      <c r="G60" s="19">
        <v>102</v>
      </c>
      <c r="H60" s="10" t="str">
        <f>VLOOKUP(G60,'PUB 21'!$A$1:$B$29,2,0)</f>
        <v>TESORERIA MUNICIPAL</v>
      </c>
      <c r="I60" s="17">
        <v>1</v>
      </c>
      <c r="J60" s="15" t="s">
        <v>7</v>
      </c>
      <c r="K60" s="13">
        <v>2</v>
      </c>
      <c r="L60" s="14" t="s">
        <v>71</v>
      </c>
      <c r="M60" s="27" t="str">
        <f t="shared" si="2"/>
        <v>1-1-1-10-21-02</v>
      </c>
      <c r="N60" s="27" t="str">
        <f t="shared" si="3"/>
        <v>BANCO PRIVADO</v>
      </c>
      <c r="O60" s="4">
        <f t="shared" si="0"/>
        <v>10</v>
      </c>
      <c r="P60" s="16" t="s">
        <v>21</v>
      </c>
      <c r="Q60" s="4" t="str">
        <f t="shared" si="4"/>
        <v>1-1-1-10-21-02-010</v>
      </c>
      <c r="R60" s="4" t="str">
        <f t="shared" si="1"/>
        <v>BANESCO CUENTA CORRIENTE 4782</v>
      </c>
    </row>
    <row r="61" spans="1:18" x14ac:dyDescent="0.2">
      <c r="A61" s="1">
        <v>1</v>
      </c>
      <c r="B61" s="6" t="str">
        <f>VLOOKUP(A61,'ACTIVOS CODIGO'!A:B,2,0)</f>
        <v>ACTIVO</v>
      </c>
      <c r="C61" s="2">
        <v>1</v>
      </c>
      <c r="D61" s="7" t="str">
        <f>VLOOKUP(C61,'ACTIVOS CODIGO'!C:D,2,0)</f>
        <v>ACTIVO DEL TESORO = ACTIVO CORRIENTE</v>
      </c>
      <c r="E61" s="3">
        <v>1</v>
      </c>
      <c r="F61" s="8" t="str">
        <f>VLOOKUP(E61,'ACTIVOS CODIGO'!E:F,2,0)</f>
        <v>ACTIVO DISPONIBLE</v>
      </c>
      <c r="G61" s="19">
        <v>102</v>
      </c>
      <c r="H61" s="10" t="str">
        <f>VLOOKUP(G61,'PUB 21'!$A$1:$B$29,2,0)</f>
        <v>TESORERIA MUNICIPAL</v>
      </c>
      <c r="I61" s="17">
        <v>1</v>
      </c>
      <c r="J61" s="15" t="s">
        <v>7</v>
      </c>
      <c r="K61" s="13">
        <v>2</v>
      </c>
      <c r="L61" s="14" t="s">
        <v>71</v>
      </c>
      <c r="M61" s="27" t="str">
        <f t="shared" si="2"/>
        <v>1-1-1-10-21-02</v>
      </c>
      <c r="N61" s="27" t="str">
        <f t="shared" si="3"/>
        <v>BANCO PRIVADO</v>
      </c>
      <c r="O61" s="4">
        <f t="shared" si="0"/>
        <v>11</v>
      </c>
      <c r="P61" s="16" t="s">
        <v>23</v>
      </c>
      <c r="Q61" s="4" t="str">
        <f t="shared" si="4"/>
        <v>1-1-1-10-21-02-011</v>
      </c>
      <c r="R61" s="4" t="str">
        <f t="shared" si="1"/>
        <v>BANCARIBE 0114-0159-76-1590175990 CTA. GASTOS 2021</v>
      </c>
    </row>
    <row r="62" spans="1:18" x14ac:dyDescent="0.2">
      <c r="A62" s="1">
        <v>1</v>
      </c>
      <c r="B62" s="6" t="str">
        <f>VLOOKUP(A62,'ACTIVOS CODIGO'!A:B,2,0)</f>
        <v>ACTIVO</v>
      </c>
      <c r="C62" s="2">
        <v>1</v>
      </c>
      <c r="D62" s="7" t="str">
        <f>VLOOKUP(C62,'ACTIVOS CODIGO'!C:D,2,0)</f>
        <v>ACTIVO DEL TESORO = ACTIVO CORRIENTE</v>
      </c>
      <c r="E62" s="3">
        <v>1</v>
      </c>
      <c r="F62" s="8" t="str">
        <f>VLOOKUP(E62,'ACTIVOS CODIGO'!E:F,2,0)</f>
        <v>ACTIVO DISPONIBLE</v>
      </c>
      <c r="G62" s="19">
        <v>102</v>
      </c>
      <c r="H62" s="10" t="str">
        <f>VLOOKUP(G62,'PUB 21'!$A$1:$B$29,2,0)</f>
        <v>TESORERIA MUNICIPAL</v>
      </c>
      <c r="I62" s="17">
        <v>1</v>
      </c>
      <c r="J62" s="15" t="s">
        <v>7</v>
      </c>
      <c r="K62" s="13">
        <v>2</v>
      </c>
      <c r="L62" s="14" t="s">
        <v>71</v>
      </c>
      <c r="M62" s="27" t="str">
        <f t="shared" si="2"/>
        <v>1-1-1-10-21-02</v>
      </c>
      <c r="N62" s="27" t="str">
        <f t="shared" si="3"/>
        <v>BANCO PRIVADO</v>
      </c>
      <c r="O62" s="4">
        <f t="shared" si="0"/>
        <v>12</v>
      </c>
      <c r="P62" s="16" t="s">
        <v>24</v>
      </c>
      <c r="Q62" s="4" t="str">
        <f t="shared" si="4"/>
        <v>1-1-1-10-21-02-012</v>
      </c>
      <c r="R62" s="4" t="str">
        <f t="shared" si="1"/>
        <v>BANCARIBE 1590176008 FISCO MUNICIPAL 2021</v>
      </c>
    </row>
    <row r="63" spans="1:18" x14ac:dyDescent="0.2">
      <c r="A63" s="1">
        <v>1</v>
      </c>
      <c r="B63" s="6" t="str">
        <f>VLOOKUP(A63,'ACTIVOS CODIGO'!A:B,2,0)</f>
        <v>ACTIVO</v>
      </c>
      <c r="C63" s="2">
        <v>1</v>
      </c>
      <c r="D63" s="7" t="str">
        <f>VLOOKUP(C63,'ACTIVOS CODIGO'!C:D,2,0)</f>
        <v>ACTIVO DEL TESORO = ACTIVO CORRIENTE</v>
      </c>
      <c r="E63" s="3">
        <v>1</v>
      </c>
      <c r="F63" s="8" t="str">
        <f>VLOOKUP(E63,'ACTIVOS CODIGO'!E:F,2,0)</f>
        <v>ACTIVO DISPONIBLE</v>
      </c>
      <c r="G63" s="19">
        <v>102</v>
      </c>
      <c r="H63" s="10" t="str">
        <f>VLOOKUP(G63,'PUB 21'!$A$1:$B$29,2,0)</f>
        <v>TESORERIA MUNICIPAL</v>
      </c>
      <c r="I63" s="17">
        <v>1</v>
      </c>
      <c r="J63" s="15" t="s">
        <v>7</v>
      </c>
      <c r="K63" s="13">
        <v>2</v>
      </c>
      <c r="L63" s="14" t="s">
        <v>71</v>
      </c>
      <c r="M63" s="27" t="str">
        <f t="shared" si="2"/>
        <v>1-1-1-10-21-02</v>
      </c>
      <c r="N63" s="27" t="str">
        <f t="shared" si="3"/>
        <v>BANCO PRIVADO</v>
      </c>
      <c r="O63" s="4">
        <f t="shared" si="0"/>
        <v>13</v>
      </c>
      <c r="P63" s="16" t="s">
        <v>58</v>
      </c>
      <c r="Q63" s="4" t="str">
        <f t="shared" si="4"/>
        <v>1-1-1-10-21-02-013</v>
      </c>
      <c r="R63" s="4" t="str">
        <f t="shared" si="1"/>
        <v>BANCAMIGA 0172-0000-00-00000003155</v>
      </c>
    </row>
    <row r="64" spans="1:18" x14ac:dyDescent="0.2">
      <c r="A64" s="1">
        <v>1</v>
      </c>
      <c r="B64" s="6" t="str">
        <f>VLOOKUP(A64,'ACTIVOS CODIGO'!A:B,2,0)</f>
        <v>ACTIVO</v>
      </c>
      <c r="C64" s="2">
        <v>1</v>
      </c>
      <c r="D64" s="7" t="str">
        <f>VLOOKUP(C64,'ACTIVOS CODIGO'!C:D,2,0)</f>
        <v>ACTIVO DEL TESORO = ACTIVO CORRIENTE</v>
      </c>
      <c r="E64" s="3">
        <v>1</v>
      </c>
      <c r="F64" s="8" t="str">
        <f>VLOOKUP(E64,'ACTIVOS CODIGO'!E:F,2,0)</f>
        <v>ACTIVO DISPONIBLE</v>
      </c>
      <c r="G64" s="19">
        <v>102</v>
      </c>
      <c r="H64" s="10" t="str">
        <f>VLOOKUP(G64,'PUB 21'!$A$1:$B$29,2,0)</f>
        <v>TESORERIA MUNICIPAL</v>
      </c>
      <c r="I64" s="17">
        <v>1</v>
      </c>
      <c r="J64" s="15" t="s">
        <v>7</v>
      </c>
      <c r="K64" s="13">
        <v>2</v>
      </c>
      <c r="L64" s="14" t="s">
        <v>71</v>
      </c>
      <c r="M64" s="27" t="str">
        <f t="shared" si="2"/>
        <v>1-1-1-10-21-02</v>
      </c>
      <c r="N64" s="27" t="str">
        <f t="shared" si="3"/>
        <v>BANCO PRIVADO</v>
      </c>
      <c r="O64" s="4">
        <f t="shared" si="0"/>
        <v>14</v>
      </c>
      <c r="P64" s="16" t="s">
        <v>59</v>
      </c>
      <c r="Q64" s="4" t="str">
        <f t="shared" si="4"/>
        <v>1-1-1-10-21-02-014</v>
      </c>
      <c r="R64" s="4" t="str">
        <f t="shared" si="1"/>
        <v>BANESCO 0134-0328-7132-8107-4973 CTA.GASTOS 2021</v>
      </c>
    </row>
    <row r="65" spans="1:18" x14ac:dyDescent="0.2">
      <c r="A65" s="1">
        <v>1</v>
      </c>
      <c r="B65" s="6" t="str">
        <f>VLOOKUP(A65,'ACTIVOS CODIGO'!A:B,2,0)</f>
        <v>ACTIVO</v>
      </c>
      <c r="C65" s="2">
        <v>1</v>
      </c>
      <c r="D65" s="7" t="str">
        <f>VLOOKUP(C65,'ACTIVOS CODIGO'!C:D,2,0)</f>
        <v>ACTIVO DEL TESORO = ACTIVO CORRIENTE</v>
      </c>
      <c r="E65" s="3">
        <v>1</v>
      </c>
      <c r="F65" s="8" t="str">
        <f>VLOOKUP(E65,'ACTIVOS CODIGO'!E:F,2,0)</f>
        <v>ACTIVO DISPONIBLE</v>
      </c>
      <c r="G65" s="19">
        <v>102</v>
      </c>
      <c r="H65" s="10" t="str">
        <f>VLOOKUP(G65,'PUB 21'!$A$1:$B$29,2,0)</f>
        <v>TESORERIA MUNICIPAL</v>
      </c>
      <c r="I65" s="17">
        <v>1</v>
      </c>
      <c r="J65" s="15" t="s">
        <v>7</v>
      </c>
      <c r="K65" s="13">
        <v>2</v>
      </c>
      <c r="L65" s="14" t="s">
        <v>71</v>
      </c>
      <c r="M65" s="27" t="str">
        <f t="shared" si="2"/>
        <v>1-1-1-10-21-02</v>
      </c>
      <c r="N65" s="27" t="str">
        <f t="shared" si="3"/>
        <v>BANCO PRIVADO</v>
      </c>
      <c r="O65" s="4">
        <f t="shared" si="0"/>
        <v>15</v>
      </c>
      <c r="P65" s="16" t="s">
        <v>60</v>
      </c>
      <c r="Q65" s="4" t="str">
        <f t="shared" si="4"/>
        <v>1-1-1-10-21-02-015</v>
      </c>
      <c r="R65" s="4" t="str">
        <f t="shared" si="1"/>
        <v>BANCRECER 0168-0001-58-5101315550 CTA. GASTOS 2021</v>
      </c>
    </row>
    <row r="66" spans="1:18" x14ac:dyDescent="0.2">
      <c r="A66" s="1">
        <v>1</v>
      </c>
      <c r="B66" s="6" t="str">
        <f>VLOOKUP(A66,'ACTIVOS CODIGO'!A:B,2,0)</f>
        <v>ACTIVO</v>
      </c>
      <c r="C66" s="2">
        <v>1</v>
      </c>
      <c r="D66" s="7" t="str">
        <f>VLOOKUP(C66,'ACTIVOS CODIGO'!C:D,2,0)</f>
        <v>ACTIVO DEL TESORO = ACTIVO CORRIENTE</v>
      </c>
      <c r="E66" s="3">
        <v>1</v>
      </c>
      <c r="F66" s="8" t="str">
        <f>VLOOKUP(E66,'ACTIVOS CODIGO'!E:F,2,0)</f>
        <v>ACTIVO DISPONIBLE</v>
      </c>
      <c r="G66" s="19">
        <v>102</v>
      </c>
      <c r="H66" s="10" t="str">
        <f>VLOOKUP(G66,'PUB 21'!$A$1:$B$29,2,0)</f>
        <v>TESORERIA MUNICIPAL</v>
      </c>
      <c r="I66" s="17">
        <v>1</v>
      </c>
      <c r="J66" s="15" t="s">
        <v>7</v>
      </c>
      <c r="K66" s="13">
        <v>2</v>
      </c>
      <c r="L66" s="14" t="s">
        <v>71</v>
      </c>
      <c r="M66" s="27" t="str">
        <f t="shared" si="2"/>
        <v>1-1-1-10-21-02</v>
      </c>
      <c r="N66" s="27" t="str">
        <f t="shared" si="3"/>
        <v>BANCO PRIVADO</v>
      </c>
      <c r="O66" s="4">
        <f t="shared" si="0"/>
        <v>16</v>
      </c>
      <c r="P66" s="16" t="s">
        <v>61</v>
      </c>
      <c r="Q66" s="4" t="str">
        <f t="shared" si="4"/>
        <v>1-1-1-10-21-02-016</v>
      </c>
      <c r="R66" s="4" t="str">
        <f t="shared" si="1"/>
        <v>BANESCO 0134-0328-76-3281075293 "CUENTA GASTOS 2022"</v>
      </c>
    </row>
    <row r="67" spans="1:18" x14ac:dyDescent="0.2">
      <c r="A67" s="1">
        <v>1</v>
      </c>
      <c r="B67" s="6" t="str">
        <f>VLOOKUP(A67,'ACTIVOS CODIGO'!A:B,2,0)</f>
        <v>ACTIVO</v>
      </c>
      <c r="C67" s="2">
        <v>1</v>
      </c>
      <c r="D67" s="7" t="str">
        <f>VLOOKUP(C67,'ACTIVOS CODIGO'!C:D,2,0)</f>
        <v>ACTIVO DEL TESORO = ACTIVO CORRIENTE</v>
      </c>
      <c r="E67" s="3">
        <v>1</v>
      </c>
      <c r="F67" s="8" t="str">
        <f>VLOOKUP(E67,'ACTIVOS CODIGO'!E:F,2,0)</f>
        <v>ACTIVO DISPONIBLE</v>
      </c>
      <c r="G67" s="19">
        <v>102</v>
      </c>
      <c r="H67" s="10" t="str">
        <f>VLOOKUP(G67,'PUB 21'!$A$1:$B$29,2,0)</f>
        <v>TESORERIA MUNICIPAL</v>
      </c>
      <c r="I67" s="17">
        <v>1</v>
      </c>
      <c r="J67" s="15" t="s">
        <v>7</v>
      </c>
      <c r="K67" s="13">
        <v>2</v>
      </c>
      <c r="L67" s="14" t="s">
        <v>71</v>
      </c>
      <c r="M67" s="27" t="str">
        <f t="shared" si="2"/>
        <v>1-1-1-10-21-02</v>
      </c>
      <c r="N67" s="27" t="str">
        <f t="shared" si="3"/>
        <v>BANCO PRIVADO</v>
      </c>
      <c r="O67" s="4">
        <f t="shared" si="0"/>
        <v>17</v>
      </c>
      <c r="P67" s="16" t="s">
        <v>62</v>
      </c>
      <c r="Q67" s="4" t="str">
        <f t="shared" si="4"/>
        <v>1-1-1-10-21-02-017</v>
      </c>
      <c r="R67" s="4" t="str">
        <f t="shared" si="1"/>
        <v>BANCAMIGA 0172-0110-70-1108264043</v>
      </c>
    </row>
    <row r="68" spans="1:18" x14ac:dyDescent="0.2">
      <c r="A68" s="1">
        <v>1</v>
      </c>
      <c r="B68" s="6" t="str">
        <f>VLOOKUP(A68,'ACTIVOS CODIGO'!A:B,2,0)</f>
        <v>ACTIVO</v>
      </c>
      <c r="C68" s="2">
        <v>1</v>
      </c>
      <c r="D68" s="7" t="str">
        <f>VLOOKUP(C68,'ACTIVOS CODIGO'!C:D,2,0)</f>
        <v>ACTIVO DEL TESORO = ACTIVO CORRIENTE</v>
      </c>
      <c r="E68" s="3">
        <v>1</v>
      </c>
      <c r="F68" s="8" t="str">
        <f>VLOOKUP(E68,'ACTIVOS CODIGO'!E:F,2,0)</f>
        <v>ACTIVO DISPONIBLE</v>
      </c>
      <c r="G68" s="19">
        <v>102</v>
      </c>
      <c r="H68" s="10" t="str">
        <f>VLOOKUP(G68,'PUB 21'!$A$1:$B$29,2,0)</f>
        <v>TESORERIA MUNICIPAL</v>
      </c>
      <c r="I68" s="17">
        <v>1</v>
      </c>
      <c r="J68" s="15" t="s">
        <v>7</v>
      </c>
      <c r="K68" s="13">
        <v>2</v>
      </c>
      <c r="L68" s="14" t="s">
        <v>71</v>
      </c>
      <c r="M68" s="27" t="str">
        <f t="shared" si="2"/>
        <v>1-1-1-10-21-02</v>
      </c>
      <c r="N68" s="27" t="str">
        <f t="shared" si="3"/>
        <v>BANCO PRIVADO</v>
      </c>
      <c r="O68" s="4">
        <f t="shared" ref="O68:O131" si="7">IF(P68="",0,IF(M67=M68,IF(O67="",0,O67)+1,""))</f>
        <v>18</v>
      </c>
      <c r="P68" s="16" t="s">
        <v>63</v>
      </c>
      <c r="Q68" s="4" t="str">
        <f t="shared" si="4"/>
        <v>1-1-1-10-21-02-018</v>
      </c>
      <c r="R68" s="4" t="str">
        <f t="shared" ref="R68:R131" si="8">IF(P68="",IF(L68="",IF(J68="",IF(H68="",IF(F68="",IF(D68="",B68,D68),F68),H68),J68),L68),P68)</f>
        <v>BANCARIBE 01140159741590176008 "A.M.L. FISCO MCIPAL. 2022"</v>
      </c>
    </row>
    <row r="69" spans="1:18" x14ac:dyDescent="0.2">
      <c r="A69" s="1">
        <v>1</v>
      </c>
      <c r="B69" s="6" t="str">
        <f>VLOOKUP(A69,'ACTIVOS CODIGO'!A:B,2,0)</f>
        <v>ACTIVO</v>
      </c>
      <c r="C69" s="2">
        <v>1</v>
      </c>
      <c r="D69" s="7" t="str">
        <f>VLOOKUP(C69,'ACTIVOS CODIGO'!C:D,2,0)</f>
        <v>ACTIVO DEL TESORO = ACTIVO CORRIENTE</v>
      </c>
      <c r="E69" s="3">
        <v>1</v>
      </c>
      <c r="F69" s="8" t="str">
        <f>VLOOKUP(E69,'ACTIVOS CODIGO'!E:F,2,0)</f>
        <v>ACTIVO DISPONIBLE</v>
      </c>
      <c r="G69" s="19">
        <v>102</v>
      </c>
      <c r="H69" s="10" t="str">
        <f>VLOOKUP(G69,'PUB 21'!$A$1:$B$29,2,0)</f>
        <v>TESORERIA MUNICIPAL</v>
      </c>
      <c r="I69" s="17">
        <v>1</v>
      </c>
      <c r="J69" s="15" t="s">
        <v>7</v>
      </c>
      <c r="K69" s="13">
        <v>2</v>
      </c>
      <c r="L69" s="14" t="s">
        <v>71</v>
      </c>
      <c r="M69" s="27" t="str">
        <f t="shared" si="2"/>
        <v>1-1-1-10-21-02</v>
      </c>
      <c r="N69" s="27" t="str">
        <f t="shared" si="3"/>
        <v>BANCO PRIVADO</v>
      </c>
      <c r="O69" s="4">
        <f t="shared" si="7"/>
        <v>19</v>
      </c>
      <c r="P69" s="16" t="s">
        <v>64</v>
      </c>
      <c r="Q69" s="4" t="str">
        <f t="shared" ref="Q69:Q132" si="9">CONCATENATE(TEXT(A69,"0"),"-",TEXT(C69,"0"),"-",TEXT(E69,"0"),"-",TEXT(LEFT(G69,2),"00"),"-",TEXT(RIGHT(G69,1),"0"),TEXT(I69,"0"),"-",TEXT(K69,"00"),"-",TEXT(O69,"000"))</f>
        <v>1-1-1-10-21-02-019</v>
      </c>
      <c r="R69" s="4" t="str">
        <f t="shared" si="8"/>
        <v>BNC 0191-0384-62-2100029955 "A.M.L. FISCO MUNICIPAL"</v>
      </c>
    </row>
    <row r="70" spans="1:18" x14ac:dyDescent="0.2">
      <c r="A70" s="1">
        <v>1</v>
      </c>
      <c r="B70" s="6" t="str">
        <f>VLOOKUP(A70,'ACTIVOS CODIGO'!A:B,2,0)</f>
        <v>ACTIVO</v>
      </c>
      <c r="C70" s="2">
        <v>1</v>
      </c>
      <c r="D70" s="7" t="str">
        <f>VLOOKUP(C70,'ACTIVOS CODIGO'!C:D,2,0)</f>
        <v>ACTIVO DEL TESORO = ACTIVO CORRIENTE</v>
      </c>
      <c r="E70" s="3">
        <v>1</v>
      </c>
      <c r="F70" s="8" t="str">
        <f>VLOOKUP(E70,'ACTIVOS CODIGO'!E:F,2,0)</f>
        <v>ACTIVO DISPONIBLE</v>
      </c>
      <c r="G70" s="19">
        <v>102</v>
      </c>
      <c r="H70" s="10" t="str">
        <f>VLOOKUP(G70,'PUB 21'!$A$1:$B$29,2,0)</f>
        <v>TESORERIA MUNICIPAL</v>
      </c>
      <c r="I70" s="17">
        <v>1</v>
      </c>
      <c r="J70" s="15" t="s">
        <v>7</v>
      </c>
      <c r="K70" s="13">
        <v>2</v>
      </c>
      <c r="L70" s="14" t="s">
        <v>71</v>
      </c>
      <c r="M70" s="27" t="str">
        <f t="shared" ref="M70:M133" si="10">CONCATENATE(TEXT(A70,"0"),"-",TEXT(C70,"0"),"-",TEXT(E70,"0"),"-",TEXT(LEFT(G70,2),"00"),"-",TEXT(RIGHT(G70,1),"0"),TEXT(I70,"0"),"-",TEXT(K70,"00"))</f>
        <v>1-1-1-10-21-02</v>
      </c>
      <c r="N70" s="27" t="str">
        <f t="shared" ref="N70:N133" si="11">IF(L70="",IF(J70="",IF(H70="",IF(F70="",IF(D70="",B70,D70),F70),H70),J70),L70)</f>
        <v>BANCO PRIVADO</v>
      </c>
      <c r="O70" s="4">
        <f t="shared" si="7"/>
        <v>20</v>
      </c>
      <c r="P70" s="16" t="s">
        <v>65</v>
      </c>
      <c r="Q70" s="4" t="str">
        <f t="shared" si="9"/>
        <v>1-1-1-10-21-02-020</v>
      </c>
      <c r="R70" s="4" t="str">
        <f t="shared" si="8"/>
        <v>PROVINCIAL 0108-0582-71-0100052623 "A.M.L. CUENTA DE GASTOS 2022"</v>
      </c>
    </row>
    <row r="71" spans="1:18" x14ac:dyDescent="0.2">
      <c r="A71" s="1">
        <v>1</v>
      </c>
      <c r="B71" s="6" t="str">
        <f>VLOOKUP(A71,'ACTIVOS CODIGO'!A:B,2,0)</f>
        <v>ACTIVO</v>
      </c>
      <c r="C71" s="2">
        <v>1</v>
      </c>
      <c r="D71" s="7" t="str">
        <f>VLOOKUP(C71,'ACTIVOS CODIGO'!C:D,2,0)</f>
        <v>ACTIVO DEL TESORO = ACTIVO CORRIENTE</v>
      </c>
      <c r="E71" s="3">
        <v>1</v>
      </c>
      <c r="F71" s="8" t="str">
        <f>VLOOKUP(E71,'ACTIVOS CODIGO'!E:F,2,0)</f>
        <v>ACTIVO DISPONIBLE</v>
      </c>
      <c r="G71" s="19">
        <v>102</v>
      </c>
      <c r="H71" s="10" t="str">
        <f>VLOOKUP(G71,'PUB 21'!$A$1:$B$29,2,0)</f>
        <v>TESORERIA MUNICIPAL</v>
      </c>
      <c r="I71" s="17">
        <v>1</v>
      </c>
      <c r="J71" s="15" t="s">
        <v>7</v>
      </c>
      <c r="K71" s="13">
        <v>2</v>
      </c>
      <c r="L71" s="14" t="s">
        <v>71</v>
      </c>
      <c r="M71" s="27" t="str">
        <f t="shared" si="10"/>
        <v>1-1-1-10-21-02</v>
      </c>
      <c r="N71" s="27" t="str">
        <f t="shared" si="11"/>
        <v>BANCO PRIVADO</v>
      </c>
      <c r="O71" s="4">
        <f t="shared" si="7"/>
        <v>21</v>
      </c>
      <c r="P71" s="16" t="s">
        <v>66</v>
      </c>
      <c r="Q71" s="4" t="str">
        <f t="shared" si="9"/>
        <v>1-1-1-10-21-02-021</v>
      </c>
      <c r="R71" s="4" t="str">
        <f t="shared" si="8"/>
        <v>BANCAMIGA 0172011076-1108379924 "A.M.L. CUENTA DE GASTOS 2022"</v>
      </c>
    </row>
    <row r="72" spans="1:18" x14ac:dyDescent="0.2">
      <c r="A72" s="1">
        <v>1</v>
      </c>
      <c r="B72" s="6" t="str">
        <f>VLOOKUP(A72,'ACTIVOS CODIGO'!A:B,2,0)</f>
        <v>ACTIVO</v>
      </c>
      <c r="C72" s="2">
        <v>1</v>
      </c>
      <c r="D72" s="7" t="str">
        <f>VLOOKUP(C72,'ACTIVOS CODIGO'!C:D,2,0)</f>
        <v>ACTIVO DEL TESORO = ACTIVO CORRIENTE</v>
      </c>
      <c r="E72" s="3">
        <v>1</v>
      </c>
      <c r="F72" s="8" t="str">
        <f>VLOOKUP(E72,'ACTIVOS CODIGO'!E:F,2,0)</f>
        <v>ACTIVO DISPONIBLE</v>
      </c>
      <c r="G72" s="19">
        <v>102</v>
      </c>
      <c r="H72" s="10" t="str">
        <f>VLOOKUP(G72,'PUB 21'!$A$1:$B$29,2,0)</f>
        <v>TESORERIA MUNICIPAL</v>
      </c>
      <c r="I72" s="17">
        <v>1</v>
      </c>
      <c r="J72" s="15" t="s">
        <v>7</v>
      </c>
      <c r="K72" s="13">
        <v>2</v>
      </c>
      <c r="L72" s="14" t="s">
        <v>71</v>
      </c>
      <c r="M72" s="27" t="str">
        <f t="shared" si="10"/>
        <v>1-1-1-10-21-02</v>
      </c>
      <c r="N72" s="27" t="str">
        <f t="shared" si="11"/>
        <v>BANCO PRIVADO</v>
      </c>
      <c r="O72" s="4">
        <f t="shared" si="7"/>
        <v>22</v>
      </c>
      <c r="P72" s="16" t="s">
        <v>67</v>
      </c>
      <c r="Q72" s="4" t="str">
        <f t="shared" si="9"/>
        <v>1-1-1-10-21-02-022</v>
      </c>
      <c r="R72" s="4" t="str">
        <f t="shared" si="8"/>
        <v>PARTIDA POR CERTIFICAR BANESCO</v>
      </c>
    </row>
    <row r="73" spans="1:18" x14ac:dyDescent="0.2">
      <c r="A73" s="1">
        <v>1</v>
      </c>
      <c r="B73" s="6" t="str">
        <f>VLOOKUP(A73,'ACTIVOS CODIGO'!A:B,2,0)</f>
        <v>ACTIVO</v>
      </c>
      <c r="C73" s="2">
        <v>1</v>
      </c>
      <c r="D73" s="7" t="str">
        <f>VLOOKUP(C73,'ACTIVOS CODIGO'!C:D,2,0)</f>
        <v>ACTIVO DEL TESORO = ACTIVO CORRIENTE</v>
      </c>
      <c r="E73" s="3">
        <v>1</v>
      </c>
      <c r="F73" s="8" t="str">
        <f>VLOOKUP(E73,'ACTIVOS CODIGO'!E:F,2,0)</f>
        <v>ACTIVO DISPONIBLE</v>
      </c>
      <c r="G73" s="19">
        <v>102</v>
      </c>
      <c r="H73" s="10" t="str">
        <f>VLOOKUP(G73,'PUB 21'!$A$1:$B$29,2,0)</f>
        <v>TESORERIA MUNICIPAL</v>
      </c>
      <c r="I73" s="17">
        <v>1</v>
      </c>
      <c r="J73" s="15" t="s">
        <v>7</v>
      </c>
      <c r="K73" s="13">
        <v>2</v>
      </c>
      <c r="L73" s="14" t="s">
        <v>71</v>
      </c>
      <c r="M73" s="27" t="str">
        <f t="shared" si="10"/>
        <v>1-1-1-10-21-02</v>
      </c>
      <c r="N73" s="27" t="str">
        <f t="shared" si="11"/>
        <v>BANCO PRIVADO</v>
      </c>
      <c r="O73" s="4">
        <f t="shared" si="7"/>
        <v>23</v>
      </c>
      <c r="P73" s="16" t="s">
        <v>68</v>
      </c>
      <c r="Q73" s="4" t="str">
        <f t="shared" si="9"/>
        <v>1-1-1-10-21-02-023</v>
      </c>
      <c r="R73" s="4" t="str">
        <f t="shared" si="8"/>
        <v>PARTIDA POR CERTIFICAR PROVINCIAL</v>
      </c>
    </row>
    <row r="74" spans="1:18" x14ac:dyDescent="0.2">
      <c r="A74" s="1">
        <v>1</v>
      </c>
      <c r="B74" s="6" t="str">
        <f>VLOOKUP(A74,'ACTIVOS CODIGO'!A:B,2,0)</f>
        <v>ACTIVO</v>
      </c>
      <c r="C74" s="2">
        <v>1</v>
      </c>
      <c r="D74" s="7" t="str">
        <f>VLOOKUP(C74,'ACTIVOS CODIGO'!C:D,2,0)</f>
        <v>ACTIVO DEL TESORO = ACTIVO CORRIENTE</v>
      </c>
      <c r="E74" s="3">
        <v>1</v>
      </c>
      <c r="F74" s="8" t="str">
        <f>VLOOKUP(E74,'ACTIVOS CODIGO'!E:F,2,0)</f>
        <v>ACTIVO DISPONIBLE</v>
      </c>
      <c r="G74" s="19">
        <v>102</v>
      </c>
      <c r="H74" s="10" t="str">
        <f>VLOOKUP(G74,'PUB 21'!$A$1:$B$29,2,0)</f>
        <v>TESORERIA MUNICIPAL</v>
      </c>
      <c r="I74" s="17">
        <v>1</v>
      </c>
      <c r="J74" s="15" t="s">
        <v>7</v>
      </c>
      <c r="K74" s="13">
        <v>2</v>
      </c>
      <c r="L74" s="14" t="s">
        <v>71</v>
      </c>
      <c r="M74" s="27" t="str">
        <f t="shared" si="10"/>
        <v>1-1-1-10-21-02</v>
      </c>
      <c r="N74" s="27" t="str">
        <f t="shared" si="11"/>
        <v>BANCO PRIVADO</v>
      </c>
      <c r="O74" s="4">
        <f t="shared" si="7"/>
        <v>24</v>
      </c>
      <c r="P74" s="16" t="s">
        <v>69</v>
      </c>
      <c r="Q74" s="4" t="str">
        <f t="shared" si="9"/>
        <v>1-1-1-10-21-02-024</v>
      </c>
      <c r="R74" s="4" t="str">
        <f t="shared" si="8"/>
        <v>PARTIDA POR CERTIFICAR BNC</v>
      </c>
    </row>
    <row r="75" spans="1:18" x14ac:dyDescent="0.2">
      <c r="A75" s="1">
        <v>1</v>
      </c>
      <c r="B75" s="6" t="str">
        <f>VLOOKUP(A75,'ACTIVOS CODIGO'!A:B,2,0)</f>
        <v>ACTIVO</v>
      </c>
      <c r="C75" s="2">
        <v>1</v>
      </c>
      <c r="D75" s="7" t="str">
        <f>VLOOKUP(C75,'ACTIVOS CODIGO'!C:D,2,0)</f>
        <v>ACTIVO DEL TESORO = ACTIVO CORRIENTE</v>
      </c>
      <c r="E75" s="3">
        <v>1</v>
      </c>
      <c r="F75" s="8" t="str">
        <f>VLOOKUP(E75,'ACTIVOS CODIGO'!E:F,2,0)</f>
        <v>ACTIVO DISPONIBLE</v>
      </c>
      <c r="G75" s="19">
        <v>102</v>
      </c>
      <c r="H75" s="10" t="str">
        <f>VLOOKUP(G75,'PUB 21'!$A$1:$B$29,2,0)</f>
        <v>TESORERIA MUNICIPAL</v>
      </c>
      <c r="I75" s="17">
        <v>1</v>
      </c>
      <c r="J75" s="15" t="s">
        <v>7</v>
      </c>
      <c r="K75" s="13">
        <v>2</v>
      </c>
      <c r="L75" s="14" t="s">
        <v>71</v>
      </c>
      <c r="M75" s="27" t="str">
        <f t="shared" si="10"/>
        <v>1-1-1-10-21-02</v>
      </c>
      <c r="N75" s="27" t="str">
        <f t="shared" si="11"/>
        <v>BANCO PRIVADO</v>
      </c>
      <c r="O75" s="4">
        <f t="shared" si="7"/>
        <v>25</v>
      </c>
      <c r="P75" s="16" t="s">
        <v>70</v>
      </c>
      <c r="Q75" s="4" t="str">
        <f t="shared" si="9"/>
        <v>1-1-1-10-21-02-025</v>
      </c>
      <c r="R75" s="4" t="str">
        <f t="shared" si="8"/>
        <v>PARTIDA POR CERTIFICAR BANCAMIGA</v>
      </c>
    </row>
    <row r="76" spans="1:18" x14ac:dyDescent="0.2">
      <c r="A76" s="1">
        <v>1</v>
      </c>
      <c r="B76" s="6" t="str">
        <f>VLOOKUP(A76,'ACTIVOS CODIGO'!A:B,2,0)</f>
        <v>ACTIVO</v>
      </c>
      <c r="C76" s="2">
        <v>1</v>
      </c>
      <c r="D76" s="7" t="str">
        <f>VLOOKUP(C76,'ACTIVOS CODIGO'!C:D,2,0)</f>
        <v>ACTIVO DEL TESORO = ACTIVO CORRIENTE</v>
      </c>
      <c r="E76" s="3">
        <v>1</v>
      </c>
      <c r="F76" s="8" t="str">
        <f>VLOOKUP(E76,'ACTIVOS CODIGO'!E:F,2,0)</f>
        <v>ACTIVO DISPONIBLE</v>
      </c>
      <c r="G76" s="19">
        <v>102</v>
      </c>
      <c r="H76" s="10" t="str">
        <f>VLOOKUP(G76,'PUB 21'!$A$1:$B$29,2,0)</f>
        <v>TESORERIA MUNICIPAL</v>
      </c>
      <c r="I76" s="17">
        <v>1</v>
      </c>
      <c r="J76" s="15" t="s">
        <v>7</v>
      </c>
      <c r="K76" s="13">
        <v>2</v>
      </c>
      <c r="L76" s="14" t="s">
        <v>71</v>
      </c>
      <c r="M76" s="27" t="str">
        <f t="shared" si="10"/>
        <v>1-1-1-10-21-02</v>
      </c>
      <c r="N76" s="27" t="str">
        <f t="shared" si="11"/>
        <v>BANCO PRIVADO</v>
      </c>
      <c r="O76" s="4">
        <f t="shared" si="7"/>
        <v>26</v>
      </c>
      <c r="P76" s="16" t="s">
        <v>67</v>
      </c>
      <c r="Q76" s="4" t="str">
        <f t="shared" si="9"/>
        <v>1-1-1-10-21-02-026</v>
      </c>
      <c r="R76" s="4" t="str">
        <f t="shared" si="8"/>
        <v>PARTIDA POR CERTIFICAR BANESCO</v>
      </c>
    </row>
    <row r="77" spans="1:18" x14ac:dyDescent="0.2">
      <c r="A77" s="1">
        <v>1</v>
      </c>
      <c r="B77" s="6" t="str">
        <f>VLOOKUP(A77,'ACTIVOS CODIGO'!A:B,2,0)</f>
        <v>ACTIVO</v>
      </c>
      <c r="C77" s="2">
        <v>1</v>
      </c>
      <c r="D77" s="7" t="str">
        <f>VLOOKUP(C77,'ACTIVOS CODIGO'!C:D,2,0)</f>
        <v>ACTIVO DEL TESORO = ACTIVO CORRIENTE</v>
      </c>
      <c r="E77" s="3">
        <v>1</v>
      </c>
      <c r="F77" s="8" t="str">
        <f>VLOOKUP(E77,'ACTIVOS CODIGO'!E:F,2,0)</f>
        <v>ACTIVO DISPONIBLE</v>
      </c>
      <c r="G77" s="19">
        <v>110</v>
      </c>
      <c r="H77" s="10" t="str">
        <f>VLOOKUP(G77,'PUB 21'!$A$1:$B$29,2,0)</f>
        <v>FONDOS DEL SITUADO COORDINADO</v>
      </c>
      <c r="I77" s="17"/>
      <c r="J77" s="21"/>
      <c r="K77" s="22"/>
      <c r="L77" s="21"/>
      <c r="M77" s="27" t="str">
        <f t="shared" si="10"/>
        <v>1-1-1-11-00-00</v>
      </c>
      <c r="N77" s="27" t="str">
        <f t="shared" si="11"/>
        <v>FONDOS DEL SITUADO COORDINADO</v>
      </c>
      <c r="O77" s="4">
        <f t="shared" si="7"/>
        <v>0</v>
      </c>
      <c r="P77" s="23"/>
      <c r="Q77" s="4" t="str">
        <f t="shared" si="9"/>
        <v>1-1-1-11-00-00-000</v>
      </c>
      <c r="R77" s="4" t="str">
        <f t="shared" si="8"/>
        <v>FONDOS DEL SITUADO COORDINADO</v>
      </c>
    </row>
    <row r="78" spans="1:18" x14ac:dyDescent="0.2">
      <c r="A78" s="1">
        <v>1</v>
      </c>
      <c r="B78" s="6" t="str">
        <f>VLOOKUP(A78,'ACTIVOS CODIGO'!A:B,2,0)</f>
        <v>ACTIVO</v>
      </c>
      <c r="C78" s="2">
        <v>1</v>
      </c>
      <c r="D78" s="7" t="str">
        <f>VLOOKUP(C78,'ACTIVOS CODIGO'!C:D,2,0)</f>
        <v>ACTIVO DEL TESORO = ACTIVO CORRIENTE</v>
      </c>
      <c r="E78" s="3">
        <v>1</v>
      </c>
      <c r="F78" s="8" t="str">
        <f>VLOOKUP(E78,'ACTIVOS CODIGO'!E:F,2,0)</f>
        <v>ACTIVO DISPONIBLE</v>
      </c>
      <c r="G78" s="19">
        <v>110</v>
      </c>
      <c r="H78" s="10" t="str">
        <f>VLOOKUP(G78,'PUB 21'!$A$1:$B$29,2,0)</f>
        <v>FONDOS DEL SITUADO COORDINADO</v>
      </c>
      <c r="I78" s="17"/>
      <c r="J78" s="15"/>
      <c r="K78" s="13"/>
      <c r="L78" s="14"/>
      <c r="M78" s="27" t="str">
        <f t="shared" si="10"/>
        <v>1-1-1-11-00-00</v>
      </c>
      <c r="N78" s="27" t="str">
        <f t="shared" si="11"/>
        <v>FONDOS DEL SITUADO COORDINADO</v>
      </c>
      <c r="O78" s="4">
        <f t="shared" si="7"/>
        <v>1</v>
      </c>
      <c r="P78" s="16" t="s">
        <v>73</v>
      </c>
      <c r="Q78" s="4" t="str">
        <f t="shared" si="9"/>
        <v>1-1-1-11-00-00-001</v>
      </c>
      <c r="R78" s="4" t="str">
        <f t="shared" si="8"/>
        <v>I.M.C.P. 0601-0001-27-0014072037</v>
      </c>
    </row>
    <row r="79" spans="1:18" x14ac:dyDescent="0.2">
      <c r="A79" s="1">
        <v>1</v>
      </c>
      <c r="B79" s="6" t="str">
        <f>VLOOKUP(A79,'ACTIVOS CODIGO'!A:B,2,0)</f>
        <v>ACTIVO</v>
      </c>
      <c r="C79" s="2">
        <v>1</v>
      </c>
      <c r="D79" s="7" t="str">
        <f>VLOOKUP(C79,'ACTIVOS CODIGO'!C:D,2,0)</f>
        <v>ACTIVO DEL TESORO = ACTIVO CORRIENTE</v>
      </c>
      <c r="E79" s="3">
        <v>1</v>
      </c>
      <c r="F79" s="8" t="str">
        <f>VLOOKUP(E79,'ACTIVOS CODIGO'!E:F,2,0)</f>
        <v>ACTIVO DISPONIBLE</v>
      </c>
      <c r="G79" s="19">
        <v>110</v>
      </c>
      <c r="H79" s="10" t="str">
        <f>VLOOKUP(G79,'PUB 21'!$A$1:$B$29,2,0)</f>
        <v>FONDOS DEL SITUADO COORDINADO</v>
      </c>
      <c r="I79" s="17"/>
      <c r="J79" s="15"/>
      <c r="K79" s="13"/>
      <c r="L79" s="14"/>
      <c r="M79" s="27" t="str">
        <f t="shared" si="10"/>
        <v>1-1-1-11-00-00</v>
      </c>
      <c r="N79" s="27" t="str">
        <f t="shared" si="11"/>
        <v>FONDOS DEL SITUADO COORDINADO</v>
      </c>
      <c r="O79" s="4">
        <f t="shared" si="7"/>
        <v>2</v>
      </c>
      <c r="P79" s="16" t="s">
        <v>74</v>
      </c>
      <c r="Q79" s="4" t="str">
        <f t="shared" si="9"/>
        <v>1-1-1-11-00-00-002</v>
      </c>
      <c r="R79" s="4" t="str">
        <f t="shared" si="8"/>
        <v>I.M.C.P. 004103477 SITUADO MUNICIPAL 2021</v>
      </c>
    </row>
    <row r="80" spans="1:18" x14ac:dyDescent="0.2">
      <c r="A80" s="1">
        <v>1</v>
      </c>
      <c r="B80" s="6" t="str">
        <f>VLOOKUP(A80,'ACTIVOS CODIGO'!A:B,2,0)</f>
        <v>ACTIVO</v>
      </c>
      <c r="C80" s="2">
        <v>1</v>
      </c>
      <c r="D80" s="7" t="str">
        <f>VLOOKUP(C80,'ACTIVOS CODIGO'!C:D,2,0)</f>
        <v>ACTIVO DEL TESORO = ACTIVO CORRIENTE</v>
      </c>
      <c r="E80" s="3">
        <v>1</v>
      </c>
      <c r="F80" s="8" t="str">
        <f>VLOOKUP(E80,'ACTIVOS CODIGO'!E:F,2,0)</f>
        <v>ACTIVO DISPONIBLE</v>
      </c>
      <c r="G80" s="19">
        <v>110</v>
      </c>
      <c r="H80" s="10" t="str">
        <f>VLOOKUP(G80,'PUB 21'!$A$1:$B$29,2,0)</f>
        <v>FONDOS DEL SITUADO COORDINADO</v>
      </c>
      <c r="I80" s="17"/>
      <c r="J80" s="15"/>
      <c r="K80" s="13"/>
      <c r="L80" s="14"/>
      <c r="M80" s="27" t="str">
        <f t="shared" si="10"/>
        <v>1-1-1-11-00-00</v>
      </c>
      <c r="N80" s="27" t="str">
        <f t="shared" si="11"/>
        <v>FONDOS DEL SITUADO COORDINADO</v>
      </c>
      <c r="O80" s="4">
        <f t="shared" si="7"/>
        <v>3</v>
      </c>
      <c r="P80" s="16" t="s">
        <v>75</v>
      </c>
      <c r="Q80" s="4" t="str">
        <f t="shared" si="9"/>
        <v>1-1-1-11-00-00-003</v>
      </c>
      <c r="R80" s="4" t="str">
        <f t="shared" si="8"/>
        <v>I.M.C.P. 0601-0001-21-0014107205 "A.M.L. SITUADO MCPAL. 2022"</v>
      </c>
    </row>
    <row r="81" spans="1:18" x14ac:dyDescent="0.2">
      <c r="A81" s="1">
        <v>1</v>
      </c>
      <c r="B81" s="6" t="str">
        <f>VLOOKUP(A81,'ACTIVOS CODIGO'!A:B,2,0)</f>
        <v>ACTIVO</v>
      </c>
      <c r="C81" s="2">
        <v>1</v>
      </c>
      <c r="D81" s="7" t="str">
        <f>VLOOKUP(C81,'ACTIVOS CODIGO'!C:D,2,0)</f>
        <v>ACTIVO DEL TESORO = ACTIVO CORRIENTE</v>
      </c>
      <c r="E81" s="3">
        <v>1</v>
      </c>
      <c r="F81" s="8" t="str">
        <f>VLOOKUP(E81,'ACTIVOS CODIGO'!E:F,2,0)</f>
        <v>ACTIVO DISPONIBLE</v>
      </c>
      <c r="G81" s="19">
        <v>110</v>
      </c>
      <c r="H81" s="10" t="str">
        <f>VLOOKUP(G81,'PUB 21'!$A$1:$B$29,2,0)</f>
        <v>FONDOS DEL SITUADO COORDINADO</v>
      </c>
      <c r="I81" s="17"/>
      <c r="J81" s="15"/>
      <c r="K81" s="13"/>
      <c r="L81" s="14"/>
      <c r="M81" s="27" t="str">
        <f t="shared" si="10"/>
        <v>1-1-1-11-00-00</v>
      </c>
      <c r="N81" s="27" t="str">
        <f t="shared" si="11"/>
        <v>FONDOS DEL SITUADO COORDINADO</v>
      </c>
      <c r="O81" s="4">
        <f t="shared" si="7"/>
        <v>4</v>
      </c>
      <c r="P81" s="16" t="s">
        <v>76</v>
      </c>
      <c r="Q81" s="4" t="str">
        <f t="shared" si="9"/>
        <v>1-1-1-11-00-00-004</v>
      </c>
      <c r="R81" s="4" t="str">
        <f t="shared" si="8"/>
        <v>VENEZUELA 0102-0792-23-0000078524 "A.M.L. SITUADO MCPAL. 2022"</v>
      </c>
    </row>
    <row r="82" spans="1:18" x14ac:dyDescent="0.2">
      <c r="A82" s="1">
        <v>1</v>
      </c>
      <c r="B82" s="6" t="str">
        <f>VLOOKUP(A82,'ACTIVOS CODIGO'!A:B,2,0)</f>
        <v>ACTIVO</v>
      </c>
      <c r="C82" s="2">
        <v>1</v>
      </c>
      <c r="D82" s="7" t="str">
        <f>VLOOKUP(C82,'ACTIVOS CODIGO'!C:D,2,0)</f>
        <v>ACTIVO DEL TESORO = ACTIVO CORRIENTE</v>
      </c>
      <c r="E82" s="3">
        <v>2</v>
      </c>
      <c r="F82" s="8" t="str">
        <f>VLOOKUP(E82,'ACTIVOS CODIGO'!E:F,2,0)</f>
        <v>ACTIVO EXIGIBLE</v>
      </c>
      <c r="G82" s="10">
        <v>120</v>
      </c>
      <c r="H82" s="10" t="str">
        <f>VLOOKUP(G82,'PUB 21'!$A$1:$B$29,2,0)</f>
        <v>DOCUMENTOS NEGOCIABLES</v>
      </c>
      <c r="I82" s="17"/>
      <c r="J82" s="15"/>
      <c r="K82" s="13"/>
      <c r="L82" s="14"/>
      <c r="M82" s="27" t="str">
        <f t="shared" si="10"/>
        <v>1-1-2-12-00-00</v>
      </c>
      <c r="N82" s="27" t="str">
        <f t="shared" si="11"/>
        <v>DOCUMENTOS NEGOCIABLES</v>
      </c>
      <c r="O82" s="4">
        <f t="shared" si="7"/>
        <v>0</v>
      </c>
      <c r="P82" s="16"/>
      <c r="Q82" s="4" t="str">
        <f t="shared" si="9"/>
        <v>1-1-2-12-00-00-000</v>
      </c>
      <c r="R82" s="4" t="str">
        <f t="shared" si="8"/>
        <v>DOCUMENTOS NEGOCIABLES</v>
      </c>
    </row>
    <row r="83" spans="1:18" x14ac:dyDescent="0.2">
      <c r="A83" s="1">
        <v>1</v>
      </c>
      <c r="B83" s="6" t="str">
        <f>VLOOKUP(A83,'ACTIVOS CODIGO'!A:B,2,0)</f>
        <v>ACTIVO</v>
      </c>
      <c r="C83" s="2">
        <v>1</v>
      </c>
      <c r="D83" s="7" t="str">
        <f>VLOOKUP(C83,'ACTIVOS CODIGO'!C:D,2,0)</f>
        <v>ACTIVO DEL TESORO = ACTIVO CORRIENTE</v>
      </c>
      <c r="E83" s="3">
        <v>2</v>
      </c>
      <c r="F83" s="8" t="str">
        <f>VLOOKUP(E83,'ACTIVOS CODIGO'!E:F,2,0)</f>
        <v>ACTIVO EXIGIBLE</v>
      </c>
      <c r="G83" s="10">
        <v>122</v>
      </c>
      <c r="H83" s="10" t="str">
        <f>VLOOKUP(G83,'PUB 21'!$A$1:$B$29,2,0)</f>
        <v>INGRESOS POR RECAUDAR</v>
      </c>
      <c r="I83" s="17"/>
      <c r="J83" s="15"/>
      <c r="K83" s="13"/>
      <c r="L83" s="14"/>
      <c r="M83" s="27" t="str">
        <f t="shared" si="10"/>
        <v>1-1-2-12-20-00</v>
      </c>
      <c r="N83" s="27" t="str">
        <f t="shared" si="11"/>
        <v>INGRESOS POR RECAUDAR</v>
      </c>
      <c r="O83" s="4">
        <f t="shared" si="7"/>
        <v>0</v>
      </c>
      <c r="P83" s="16"/>
      <c r="Q83" s="4" t="str">
        <f t="shared" si="9"/>
        <v>1-1-2-12-20-00-000</v>
      </c>
      <c r="R83" s="4" t="str">
        <f t="shared" si="8"/>
        <v>INGRESOS POR RECAUDAR</v>
      </c>
    </row>
    <row r="84" spans="1:18" x14ac:dyDescent="0.2">
      <c r="A84" s="1">
        <v>1</v>
      </c>
      <c r="B84" s="6" t="str">
        <f>VLOOKUP(A84,'ACTIVOS CODIGO'!A:B,2,0)</f>
        <v>ACTIVO</v>
      </c>
      <c r="C84" s="2">
        <v>1</v>
      </c>
      <c r="D84" s="7" t="str">
        <f>VLOOKUP(C84,'ACTIVOS CODIGO'!C:D,2,0)</f>
        <v>ACTIVO DEL TESORO = ACTIVO CORRIENTE</v>
      </c>
      <c r="E84" s="3">
        <v>2</v>
      </c>
      <c r="F84" s="8" t="str">
        <f>VLOOKUP(E84,'ACTIVOS CODIGO'!E:F,2,0)</f>
        <v>ACTIVO EXIGIBLE</v>
      </c>
      <c r="G84" s="10">
        <v>122</v>
      </c>
      <c r="H84" s="10" t="str">
        <f>VLOOKUP(G84,'PUB 21'!$A$1:$B$29,2,0)</f>
        <v>INGRESOS POR RECAUDAR</v>
      </c>
      <c r="I84" s="17"/>
      <c r="J84" s="15"/>
      <c r="K84" s="13"/>
      <c r="L84" s="14"/>
      <c r="M84" s="27" t="str">
        <f t="shared" si="10"/>
        <v>1-1-2-12-20-00</v>
      </c>
      <c r="N84" s="27" t="str">
        <f t="shared" si="11"/>
        <v>INGRESOS POR RECAUDAR</v>
      </c>
      <c r="O84" s="4">
        <f t="shared" si="7"/>
        <v>1</v>
      </c>
      <c r="P84" s="16" t="s">
        <v>163</v>
      </c>
      <c r="Q84" s="4" t="str">
        <f t="shared" si="9"/>
        <v>1-1-2-12-20-00-001</v>
      </c>
      <c r="R84" s="4" t="str">
        <f t="shared" si="8"/>
        <v>INGRESOS POR RECAUDAR 2008</v>
      </c>
    </row>
    <row r="85" spans="1:18" x14ac:dyDescent="0.2">
      <c r="A85" s="1">
        <v>1</v>
      </c>
      <c r="B85" s="6" t="str">
        <f>VLOOKUP(A85,'ACTIVOS CODIGO'!A:B,2,0)</f>
        <v>ACTIVO</v>
      </c>
      <c r="C85" s="2">
        <v>1</v>
      </c>
      <c r="D85" s="7" t="str">
        <f>VLOOKUP(C85,'ACTIVOS CODIGO'!C:D,2,0)</f>
        <v>ACTIVO DEL TESORO = ACTIVO CORRIENTE</v>
      </c>
      <c r="E85" s="3">
        <v>2</v>
      </c>
      <c r="F85" s="8" t="str">
        <f>VLOOKUP(E85,'ACTIVOS CODIGO'!E:F,2,0)</f>
        <v>ACTIVO EXIGIBLE</v>
      </c>
      <c r="G85" s="10">
        <v>122</v>
      </c>
      <c r="H85" s="10" t="str">
        <f>VLOOKUP(G85,'PUB 21'!$A$1:$B$29,2,0)</f>
        <v>INGRESOS POR RECAUDAR</v>
      </c>
      <c r="I85" s="17"/>
      <c r="J85" s="15"/>
      <c r="K85" s="13"/>
      <c r="L85" s="14"/>
      <c r="M85" s="27" t="str">
        <f t="shared" si="10"/>
        <v>1-1-2-12-20-00</v>
      </c>
      <c r="N85" s="27" t="str">
        <f t="shared" si="11"/>
        <v>INGRESOS POR RECAUDAR</v>
      </c>
      <c r="O85" s="4">
        <f>IF(P85="",0,IF(M84=M85,IF(O84="",0,O84)+1,""))</f>
        <v>2</v>
      </c>
      <c r="P85" s="16" t="s">
        <v>109</v>
      </c>
      <c r="Q85" s="4" t="str">
        <f t="shared" si="9"/>
        <v>1-1-2-12-20-00-002</v>
      </c>
      <c r="R85" s="4" t="str">
        <f t="shared" si="8"/>
        <v>SITUADO MUNICIPAL 2019</v>
      </c>
    </row>
    <row r="86" spans="1:18" x14ac:dyDescent="0.2">
      <c r="A86" s="1">
        <v>1</v>
      </c>
      <c r="B86" s="6" t="str">
        <f>VLOOKUP(A86,'ACTIVOS CODIGO'!A:B,2,0)</f>
        <v>ACTIVO</v>
      </c>
      <c r="C86" s="2">
        <v>1</v>
      </c>
      <c r="D86" s="7" t="str">
        <f>VLOOKUP(C86,'ACTIVOS CODIGO'!C:D,2,0)</f>
        <v>ACTIVO DEL TESORO = ACTIVO CORRIENTE</v>
      </c>
      <c r="E86" s="3">
        <v>2</v>
      </c>
      <c r="F86" s="8" t="str">
        <f>VLOOKUP(E86,'ACTIVOS CODIGO'!E:F,2,0)</f>
        <v>ACTIVO EXIGIBLE</v>
      </c>
      <c r="G86" s="10">
        <v>122</v>
      </c>
      <c r="H86" s="10" t="str">
        <f>VLOOKUP(G86,'PUB 21'!$A$1:$B$29,2,0)</f>
        <v>INGRESOS POR RECAUDAR</v>
      </c>
      <c r="I86" s="17"/>
      <c r="J86" s="15"/>
      <c r="K86" s="13"/>
      <c r="L86" s="14"/>
      <c r="M86" s="27" t="str">
        <f t="shared" si="10"/>
        <v>1-1-2-12-20-00</v>
      </c>
      <c r="N86" s="27" t="str">
        <f t="shared" si="11"/>
        <v>INGRESOS POR RECAUDAR</v>
      </c>
      <c r="O86" s="4">
        <f t="shared" si="7"/>
        <v>3</v>
      </c>
      <c r="P86" s="16" t="s">
        <v>110</v>
      </c>
      <c r="Q86" s="4" t="str">
        <f t="shared" si="9"/>
        <v>1-1-2-12-20-00-003</v>
      </c>
      <c r="R86" s="4" t="str">
        <f t="shared" si="8"/>
        <v>INGRESOS POR RECAUDAR 2020</v>
      </c>
    </row>
    <row r="87" spans="1:18" x14ac:dyDescent="0.2">
      <c r="A87" s="1">
        <v>1</v>
      </c>
      <c r="B87" s="6" t="str">
        <f>VLOOKUP(A87,'ACTIVOS CODIGO'!A:B,2,0)</f>
        <v>ACTIVO</v>
      </c>
      <c r="C87" s="2">
        <v>1</v>
      </c>
      <c r="D87" s="7" t="str">
        <f>VLOOKUP(C87,'ACTIVOS CODIGO'!C:D,2,0)</f>
        <v>ACTIVO DEL TESORO = ACTIVO CORRIENTE</v>
      </c>
      <c r="E87" s="3">
        <v>2</v>
      </c>
      <c r="F87" s="8" t="str">
        <f>VLOOKUP(E87,'ACTIVOS CODIGO'!E:F,2,0)</f>
        <v>ACTIVO EXIGIBLE</v>
      </c>
      <c r="G87" s="10">
        <v>122</v>
      </c>
      <c r="H87" s="10" t="str">
        <f>VLOOKUP(G87,'PUB 21'!$A$1:$B$29,2,0)</f>
        <v>INGRESOS POR RECAUDAR</v>
      </c>
      <c r="I87" s="17"/>
      <c r="J87" s="15"/>
      <c r="K87" s="13"/>
      <c r="L87" s="14"/>
      <c r="M87" s="27" t="str">
        <f t="shared" si="10"/>
        <v>1-1-2-12-20-00</v>
      </c>
      <c r="N87" s="27" t="str">
        <f t="shared" si="11"/>
        <v>INGRESOS POR RECAUDAR</v>
      </c>
      <c r="O87" s="4">
        <f t="shared" si="7"/>
        <v>4</v>
      </c>
      <c r="P87" s="16" t="s">
        <v>111</v>
      </c>
      <c r="Q87" s="4" t="str">
        <f t="shared" si="9"/>
        <v>1-1-2-12-20-00-004</v>
      </c>
      <c r="R87" s="4" t="str">
        <f t="shared" si="8"/>
        <v>INGRESOS POR RECAUDAR 2021</v>
      </c>
    </row>
    <row r="88" spans="1:18" x14ac:dyDescent="0.2">
      <c r="A88" s="1">
        <v>1</v>
      </c>
      <c r="B88" s="6" t="str">
        <f>VLOOKUP(A88,'ACTIVOS CODIGO'!A:B,2,0)</f>
        <v>ACTIVO</v>
      </c>
      <c r="C88" s="2">
        <v>1</v>
      </c>
      <c r="D88" s="7" t="str">
        <f>VLOOKUP(C88,'ACTIVOS CODIGO'!C:D,2,0)</f>
        <v>ACTIVO DEL TESORO = ACTIVO CORRIENTE</v>
      </c>
      <c r="E88" s="3">
        <v>2</v>
      </c>
      <c r="F88" s="8" t="str">
        <f>VLOOKUP(E88,'ACTIVOS CODIGO'!E:F,2,0)</f>
        <v>ACTIVO EXIGIBLE</v>
      </c>
      <c r="G88" s="10">
        <v>122</v>
      </c>
      <c r="H88" s="10" t="str">
        <f>VLOOKUP(G88,'PUB 21'!$A$1:$B$29,2,0)</f>
        <v>INGRESOS POR RECAUDAR</v>
      </c>
      <c r="I88" s="17"/>
      <c r="J88" s="15"/>
      <c r="K88" s="13"/>
      <c r="L88" s="14"/>
      <c r="M88" s="27" t="str">
        <f t="shared" si="10"/>
        <v>1-1-2-12-20-00</v>
      </c>
      <c r="N88" s="27" t="str">
        <f t="shared" si="11"/>
        <v>INGRESOS POR RECAUDAR</v>
      </c>
      <c r="O88" s="4">
        <f t="shared" si="7"/>
        <v>5</v>
      </c>
      <c r="P88" s="16" t="s">
        <v>112</v>
      </c>
      <c r="Q88" s="4" t="str">
        <f t="shared" si="9"/>
        <v>1-1-2-12-20-00-005</v>
      </c>
      <c r="R88" s="4" t="str">
        <f t="shared" si="8"/>
        <v>INGRESOS POR RECAUDAR SITUADO MUNICIPAL 2021</v>
      </c>
    </row>
    <row r="89" spans="1:18" x14ac:dyDescent="0.2">
      <c r="A89" s="1">
        <v>1</v>
      </c>
      <c r="B89" s="6" t="str">
        <f>VLOOKUP(A89,'ACTIVOS CODIGO'!A:B,2,0)</f>
        <v>ACTIVO</v>
      </c>
      <c r="C89" s="2">
        <v>1</v>
      </c>
      <c r="D89" s="7" t="str">
        <f>VLOOKUP(C89,'ACTIVOS CODIGO'!C:D,2,0)</f>
        <v>ACTIVO DEL TESORO = ACTIVO CORRIENTE</v>
      </c>
      <c r="E89" s="3">
        <v>2</v>
      </c>
      <c r="F89" s="8" t="str">
        <f>VLOOKUP(E89,'ACTIVOS CODIGO'!E:F,2,0)</f>
        <v>ACTIVO EXIGIBLE</v>
      </c>
      <c r="G89" s="10">
        <v>122</v>
      </c>
      <c r="H89" s="10" t="str">
        <f>VLOOKUP(G89,'PUB 21'!$A$1:$B$29,2,0)</f>
        <v>INGRESOS POR RECAUDAR</v>
      </c>
      <c r="I89" s="17"/>
      <c r="J89" s="15"/>
      <c r="K89" s="13"/>
      <c r="L89" s="14"/>
      <c r="M89" s="27" t="str">
        <f t="shared" si="10"/>
        <v>1-1-2-12-20-00</v>
      </c>
      <c r="N89" s="27" t="str">
        <f t="shared" si="11"/>
        <v>INGRESOS POR RECAUDAR</v>
      </c>
      <c r="O89" s="4">
        <f t="shared" si="7"/>
        <v>6</v>
      </c>
      <c r="P89" s="16" t="s">
        <v>164</v>
      </c>
      <c r="Q89" s="4" t="str">
        <f t="shared" si="9"/>
        <v>1-1-2-12-20-00-006</v>
      </c>
      <c r="R89" s="4" t="str">
        <f t="shared" si="8"/>
        <v>INGRESOS POR RECAUDAR 2009</v>
      </c>
    </row>
    <row r="90" spans="1:18" x14ac:dyDescent="0.2">
      <c r="A90" s="1">
        <v>1</v>
      </c>
      <c r="B90" s="6" t="str">
        <f>VLOOKUP(A90,'ACTIVOS CODIGO'!A:B,2,0)</f>
        <v>ACTIVO</v>
      </c>
      <c r="C90" s="2">
        <v>1</v>
      </c>
      <c r="D90" s="7" t="str">
        <f>VLOOKUP(C90,'ACTIVOS CODIGO'!C:D,2,0)</f>
        <v>ACTIVO DEL TESORO = ACTIVO CORRIENTE</v>
      </c>
      <c r="E90" s="3">
        <v>2</v>
      </c>
      <c r="F90" s="8" t="str">
        <f>VLOOKUP(E90,'ACTIVOS CODIGO'!E:F,2,0)</f>
        <v>ACTIVO EXIGIBLE</v>
      </c>
      <c r="G90" s="10">
        <v>122</v>
      </c>
      <c r="H90" s="10" t="str">
        <f>VLOOKUP(G90,'PUB 21'!$A$1:$B$29,2,0)</f>
        <v>INGRESOS POR RECAUDAR</v>
      </c>
      <c r="I90" s="17"/>
      <c r="J90" s="15"/>
      <c r="K90" s="13"/>
      <c r="L90" s="14"/>
      <c r="M90" s="27" t="str">
        <f t="shared" si="10"/>
        <v>1-1-2-12-20-00</v>
      </c>
      <c r="N90" s="27" t="str">
        <f t="shared" si="11"/>
        <v>INGRESOS POR RECAUDAR</v>
      </c>
      <c r="O90" s="4">
        <f t="shared" si="7"/>
        <v>7</v>
      </c>
      <c r="P90" s="16" t="s">
        <v>113</v>
      </c>
      <c r="Q90" s="4" t="str">
        <f t="shared" si="9"/>
        <v>1-1-2-12-20-00-007</v>
      </c>
      <c r="R90" s="4" t="str">
        <f t="shared" si="8"/>
        <v>INGRESOS POR RECAUDAR BANESCO</v>
      </c>
    </row>
    <row r="91" spans="1:18" x14ac:dyDescent="0.2">
      <c r="A91" s="1">
        <v>1</v>
      </c>
      <c r="B91" s="6" t="str">
        <f>VLOOKUP(A91,'ACTIVOS CODIGO'!A:B,2,0)</f>
        <v>ACTIVO</v>
      </c>
      <c r="C91" s="2">
        <v>1</v>
      </c>
      <c r="D91" s="7" t="str">
        <f>VLOOKUP(C91,'ACTIVOS CODIGO'!C:D,2,0)</f>
        <v>ACTIVO DEL TESORO = ACTIVO CORRIENTE</v>
      </c>
      <c r="E91" s="3">
        <v>2</v>
      </c>
      <c r="F91" s="8" t="str">
        <f>VLOOKUP(E91,'ACTIVOS CODIGO'!E:F,2,0)</f>
        <v>ACTIVO EXIGIBLE</v>
      </c>
      <c r="G91" s="10">
        <v>122</v>
      </c>
      <c r="H91" s="10" t="str">
        <f>VLOOKUP(G91,'PUB 21'!$A$1:$B$29,2,0)</f>
        <v>INGRESOS POR RECAUDAR</v>
      </c>
      <c r="I91" s="17"/>
      <c r="J91" s="15"/>
      <c r="K91" s="13"/>
      <c r="L91" s="14"/>
      <c r="M91" s="27" t="str">
        <f t="shared" si="10"/>
        <v>1-1-2-12-20-00</v>
      </c>
      <c r="N91" s="27" t="str">
        <f t="shared" si="11"/>
        <v>INGRESOS POR RECAUDAR</v>
      </c>
      <c r="O91" s="4">
        <f t="shared" si="7"/>
        <v>8</v>
      </c>
      <c r="P91" s="16" t="s">
        <v>114</v>
      </c>
      <c r="Q91" s="4" t="str">
        <f t="shared" si="9"/>
        <v>1-1-2-12-20-00-008</v>
      </c>
      <c r="R91" s="4" t="str">
        <f t="shared" si="8"/>
        <v>ING. X RECAUDAR PROVINCIAL 2018</v>
      </c>
    </row>
    <row r="92" spans="1:18" x14ac:dyDescent="0.2">
      <c r="A92" s="1">
        <v>1</v>
      </c>
      <c r="B92" s="6" t="str">
        <f>VLOOKUP(A92,'ACTIVOS CODIGO'!A:B,2,0)</f>
        <v>ACTIVO</v>
      </c>
      <c r="C92" s="2">
        <v>1</v>
      </c>
      <c r="D92" s="7" t="str">
        <f>VLOOKUP(C92,'ACTIVOS CODIGO'!C:D,2,0)</f>
        <v>ACTIVO DEL TESORO = ACTIVO CORRIENTE</v>
      </c>
      <c r="E92" s="3">
        <v>2</v>
      </c>
      <c r="F92" s="8" t="str">
        <f>VLOOKUP(E92,'ACTIVOS CODIGO'!E:F,2,0)</f>
        <v>ACTIVO EXIGIBLE</v>
      </c>
      <c r="G92" s="10">
        <v>122</v>
      </c>
      <c r="H92" s="10" t="str">
        <f>VLOOKUP(G92,'PUB 21'!$A$1:$B$29,2,0)</f>
        <v>INGRESOS POR RECAUDAR</v>
      </c>
      <c r="I92" s="17"/>
      <c r="J92" s="15"/>
      <c r="K92" s="13"/>
      <c r="L92" s="14"/>
      <c r="M92" s="27" t="str">
        <f t="shared" si="10"/>
        <v>1-1-2-12-20-00</v>
      </c>
      <c r="N92" s="27" t="str">
        <f t="shared" si="11"/>
        <v>INGRESOS POR RECAUDAR</v>
      </c>
      <c r="O92" s="4">
        <f t="shared" si="7"/>
        <v>9</v>
      </c>
      <c r="P92" s="16" t="s">
        <v>115</v>
      </c>
      <c r="Q92" s="4" t="str">
        <f t="shared" si="9"/>
        <v>1-1-2-12-20-00-009</v>
      </c>
      <c r="R92" s="4" t="str">
        <f t="shared" si="8"/>
        <v>PARTIDAS POR CERTIFICAR BANCO DE VENEZUELA</v>
      </c>
    </row>
    <row r="93" spans="1:18" x14ac:dyDescent="0.2">
      <c r="A93" s="1">
        <v>1</v>
      </c>
      <c r="B93" s="6" t="str">
        <f>VLOOKUP(A93,'ACTIVOS CODIGO'!A:B,2,0)</f>
        <v>ACTIVO</v>
      </c>
      <c r="C93" s="2">
        <v>1</v>
      </c>
      <c r="D93" s="7" t="str">
        <f>VLOOKUP(C93,'ACTIVOS CODIGO'!C:D,2,0)</f>
        <v>ACTIVO DEL TESORO = ACTIVO CORRIENTE</v>
      </c>
      <c r="E93" s="3">
        <v>2</v>
      </c>
      <c r="F93" s="8" t="str">
        <f>VLOOKUP(E93,'ACTIVOS CODIGO'!E:F,2,0)</f>
        <v>ACTIVO EXIGIBLE</v>
      </c>
      <c r="G93" s="10">
        <v>122</v>
      </c>
      <c r="H93" s="10" t="str">
        <f>VLOOKUP(G93,'PUB 21'!$A$1:$B$29,2,0)</f>
        <v>INGRESOS POR RECAUDAR</v>
      </c>
      <c r="I93" s="17"/>
      <c r="J93" s="15"/>
      <c r="K93" s="13"/>
      <c r="L93" s="14"/>
      <c r="M93" s="27" t="str">
        <f t="shared" si="10"/>
        <v>1-1-2-12-20-00</v>
      </c>
      <c r="N93" s="27" t="str">
        <f t="shared" si="11"/>
        <v>INGRESOS POR RECAUDAR</v>
      </c>
      <c r="O93" s="4">
        <f t="shared" si="7"/>
        <v>10</v>
      </c>
      <c r="P93" s="16" t="s">
        <v>116</v>
      </c>
      <c r="Q93" s="4" t="str">
        <f t="shared" si="9"/>
        <v>1-1-2-12-20-00-010</v>
      </c>
      <c r="R93" s="4" t="str">
        <f t="shared" si="8"/>
        <v>ING. POR RECAUDAR TESORO 2018</v>
      </c>
    </row>
    <row r="94" spans="1:18" x14ac:dyDescent="0.2">
      <c r="A94" s="1">
        <v>1</v>
      </c>
      <c r="B94" s="6" t="str">
        <f>VLOOKUP(A94,'ACTIVOS CODIGO'!A:B,2,0)</f>
        <v>ACTIVO</v>
      </c>
      <c r="C94" s="2">
        <v>1</v>
      </c>
      <c r="D94" s="7" t="str">
        <f>VLOOKUP(C94,'ACTIVOS CODIGO'!C:D,2,0)</f>
        <v>ACTIVO DEL TESORO = ACTIVO CORRIENTE</v>
      </c>
      <c r="E94" s="3">
        <v>2</v>
      </c>
      <c r="F94" s="8" t="str">
        <f>VLOOKUP(E94,'ACTIVOS CODIGO'!E:F,2,0)</f>
        <v>ACTIVO EXIGIBLE</v>
      </c>
      <c r="G94" s="10">
        <v>122</v>
      </c>
      <c r="H94" s="10" t="str">
        <f>VLOOKUP(G94,'PUB 21'!$A$1:$B$29,2,0)</f>
        <v>INGRESOS POR RECAUDAR</v>
      </c>
      <c r="I94" s="17"/>
      <c r="J94" s="15"/>
      <c r="K94" s="13"/>
      <c r="L94" s="14"/>
      <c r="M94" s="27" t="str">
        <f t="shared" si="10"/>
        <v>1-1-2-12-20-00</v>
      </c>
      <c r="N94" s="27" t="str">
        <f t="shared" si="11"/>
        <v>INGRESOS POR RECAUDAR</v>
      </c>
      <c r="O94" s="4">
        <f t="shared" si="7"/>
        <v>11</v>
      </c>
      <c r="P94" s="16" t="s">
        <v>117</v>
      </c>
      <c r="Q94" s="4" t="str">
        <f t="shared" si="9"/>
        <v>1-1-2-12-20-00-011</v>
      </c>
      <c r="R94" s="4" t="str">
        <f t="shared" si="8"/>
        <v>INGRESOS POR RECAUDAR IMCP 98545</v>
      </c>
    </row>
    <row r="95" spans="1:18" x14ac:dyDescent="0.2">
      <c r="A95" s="1">
        <v>1</v>
      </c>
      <c r="B95" s="6" t="str">
        <f>VLOOKUP(A95,'ACTIVOS CODIGO'!A:B,2,0)</f>
        <v>ACTIVO</v>
      </c>
      <c r="C95" s="2">
        <v>1</v>
      </c>
      <c r="D95" s="7" t="str">
        <f>VLOOKUP(C95,'ACTIVOS CODIGO'!C:D,2,0)</f>
        <v>ACTIVO DEL TESORO = ACTIVO CORRIENTE</v>
      </c>
      <c r="E95" s="3">
        <v>2</v>
      </c>
      <c r="F95" s="8" t="str">
        <f>VLOOKUP(E95,'ACTIVOS CODIGO'!E:F,2,0)</f>
        <v>ACTIVO EXIGIBLE</v>
      </c>
      <c r="G95" s="10">
        <v>122</v>
      </c>
      <c r="H95" s="10" t="str">
        <f>VLOOKUP(G95,'PUB 21'!$A$1:$B$29,2,0)</f>
        <v>INGRESOS POR RECAUDAR</v>
      </c>
      <c r="I95" s="17"/>
      <c r="J95" s="15"/>
      <c r="K95" s="13"/>
      <c r="L95" s="14"/>
      <c r="M95" s="27" t="str">
        <f t="shared" si="10"/>
        <v>1-1-2-12-20-00</v>
      </c>
      <c r="N95" s="27" t="str">
        <f t="shared" si="11"/>
        <v>INGRESOS POR RECAUDAR</v>
      </c>
      <c r="O95" s="4">
        <f t="shared" si="7"/>
        <v>12</v>
      </c>
      <c r="P95" s="16" t="s">
        <v>118</v>
      </c>
      <c r="Q95" s="4" t="str">
        <f t="shared" si="9"/>
        <v>1-1-2-12-20-00-012</v>
      </c>
      <c r="R95" s="4" t="str">
        <f t="shared" si="8"/>
        <v>INGRESOS POR RECAUDAR BNC</v>
      </c>
    </row>
    <row r="96" spans="1:18" x14ac:dyDescent="0.2">
      <c r="A96" s="1">
        <v>1</v>
      </c>
      <c r="B96" s="6" t="str">
        <f>VLOOKUP(A96,'ACTIVOS CODIGO'!A:B,2,0)</f>
        <v>ACTIVO</v>
      </c>
      <c r="C96" s="2">
        <v>1</v>
      </c>
      <c r="D96" s="7" t="str">
        <f>VLOOKUP(C96,'ACTIVOS CODIGO'!C:D,2,0)</f>
        <v>ACTIVO DEL TESORO = ACTIVO CORRIENTE</v>
      </c>
      <c r="E96" s="3">
        <v>2</v>
      </c>
      <c r="F96" s="8" t="str">
        <f>VLOOKUP(E96,'ACTIVOS CODIGO'!E:F,2,0)</f>
        <v>ACTIVO EXIGIBLE</v>
      </c>
      <c r="G96" s="10">
        <v>122</v>
      </c>
      <c r="H96" s="10" t="str">
        <f>VLOOKUP(G96,'PUB 21'!$A$1:$B$29,2,0)</f>
        <v>INGRESOS POR RECAUDAR</v>
      </c>
      <c r="I96" s="17"/>
      <c r="J96" s="15"/>
      <c r="K96" s="13"/>
      <c r="L96" s="14"/>
      <c r="M96" s="27" t="str">
        <f t="shared" si="10"/>
        <v>1-1-2-12-20-00</v>
      </c>
      <c r="N96" s="27" t="str">
        <f t="shared" si="11"/>
        <v>INGRESOS POR RECAUDAR</v>
      </c>
      <c r="O96" s="4">
        <f t="shared" si="7"/>
        <v>13</v>
      </c>
      <c r="P96" s="16" t="s">
        <v>119</v>
      </c>
      <c r="Q96" s="4" t="str">
        <f t="shared" si="9"/>
        <v>1-1-2-12-20-00-013</v>
      </c>
      <c r="R96" s="4" t="str">
        <f t="shared" si="8"/>
        <v>INGRESOS POR RECAUDAR BANCARIBE</v>
      </c>
    </row>
    <row r="97" spans="1:18" x14ac:dyDescent="0.2">
      <c r="A97" s="1">
        <v>1</v>
      </c>
      <c r="B97" s="6" t="str">
        <f>VLOOKUP(A97,'ACTIVOS CODIGO'!A:B,2,0)</f>
        <v>ACTIVO</v>
      </c>
      <c r="C97" s="2">
        <v>1</v>
      </c>
      <c r="D97" s="7" t="str">
        <f>VLOOKUP(C97,'ACTIVOS CODIGO'!C:D,2,0)</f>
        <v>ACTIVO DEL TESORO = ACTIVO CORRIENTE</v>
      </c>
      <c r="E97" s="3">
        <v>2</v>
      </c>
      <c r="F97" s="8" t="str">
        <f>VLOOKUP(E97,'ACTIVOS CODIGO'!E:F,2,0)</f>
        <v>ACTIVO EXIGIBLE</v>
      </c>
      <c r="G97" s="10">
        <v>122</v>
      </c>
      <c r="H97" s="10" t="str">
        <f>VLOOKUP(G97,'PUB 21'!$A$1:$B$29,2,0)</f>
        <v>INGRESOS POR RECAUDAR</v>
      </c>
      <c r="I97" s="17"/>
      <c r="J97" s="15"/>
      <c r="K97" s="13"/>
      <c r="L97" s="14"/>
      <c r="M97" s="27" t="str">
        <f t="shared" si="10"/>
        <v>1-1-2-12-20-00</v>
      </c>
      <c r="N97" s="27" t="str">
        <f t="shared" si="11"/>
        <v>INGRESOS POR RECAUDAR</v>
      </c>
      <c r="O97" s="4">
        <f t="shared" si="7"/>
        <v>14</v>
      </c>
      <c r="P97" s="16" t="s">
        <v>120</v>
      </c>
      <c r="Q97" s="4" t="str">
        <f t="shared" si="9"/>
        <v>1-1-2-12-20-00-014</v>
      </c>
      <c r="R97" s="4" t="str">
        <f t="shared" si="8"/>
        <v xml:space="preserve">INGRESOS POR RECAUDAR FONDO COMUN </v>
      </c>
    </row>
    <row r="98" spans="1:18" x14ac:dyDescent="0.2">
      <c r="A98" s="1">
        <v>1</v>
      </c>
      <c r="B98" s="6" t="str">
        <f>VLOOKUP(A98,'ACTIVOS CODIGO'!A:B,2,0)</f>
        <v>ACTIVO</v>
      </c>
      <c r="C98" s="2">
        <v>1</v>
      </c>
      <c r="D98" s="7" t="str">
        <f>VLOOKUP(C98,'ACTIVOS CODIGO'!C:D,2,0)</f>
        <v>ACTIVO DEL TESORO = ACTIVO CORRIENTE</v>
      </c>
      <c r="E98" s="3">
        <v>2</v>
      </c>
      <c r="F98" s="8" t="str">
        <f>VLOOKUP(E98,'ACTIVOS CODIGO'!E:F,2,0)</f>
        <v>ACTIVO EXIGIBLE</v>
      </c>
      <c r="G98" s="10">
        <v>122</v>
      </c>
      <c r="H98" s="10" t="str">
        <f>VLOOKUP(G98,'PUB 21'!$A$1:$B$29,2,0)</f>
        <v>INGRESOS POR RECAUDAR</v>
      </c>
      <c r="I98" s="17"/>
      <c r="J98" s="15"/>
      <c r="K98" s="13"/>
      <c r="L98" s="14"/>
      <c r="M98" s="27" t="str">
        <f t="shared" si="10"/>
        <v>1-1-2-12-20-00</v>
      </c>
      <c r="N98" s="27" t="str">
        <f t="shared" si="11"/>
        <v>INGRESOS POR RECAUDAR</v>
      </c>
      <c r="O98" s="4">
        <f t="shared" si="7"/>
        <v>15</v>
      </c>
      <c r="P98" s="16" t="s">
        <v>121</v>
      </c>
      <c r="Q98" s="4" t="str">
        <f t="shared" si="9"/>
        <v>1-1-2-12-20-00-015</v>
      </c>
      <c r="R98" s="4" t="str">
        <f t="shared" si="8"/>
        <v>INGRESOS POR RECAUDAR BANCAMIGA</v>
      </c>
    </row>
    <row r="99" spans="1:18" x14ac:dyDescent="0.2">
      <c r="A99" s="1">
        <v>1</v>
      </c>
      <c r="B99" s="6" t="str">
        <f>VLOOKUP(A99,'ACTIVOS CODIGO'!A:B,2,0)</f>
        <v>ACTIVO</v>
      </c>
      <c r="C99" s="2">
        <v>1</v>
      </c>
      <c r="D99" s="7" t="str">
        <f>VLOOKUP(C99,'ACTIVOS CODIGO'!C:D,2,0)</f>
        <v>ACTIVO DEL TESORO = ACTIVO CORRIENTE</v>
      </c>
      <c r="E99" s="3">
        <v>2</v>
      </c>
      <c r="F99" s="8" t="str">
        <f>VLOOKUP(E99,'ACTIVOS CODIGO'!E:F,2,0)</f>
        <v>ACTIVO EXIGIBLE</v>
      </c>
      <c r="G99" s="10">
        <v>126</v>
      </c>
      <c r="H99" s="10" t="str">
        <f>VLOOKUP(G99,'PUB 21'!$A$1:$B$29,2,0)</f>
        <v>FONDOS EN AVANCE</v>
      </c>
      <c r="I99" s="17"/>
      <c r="J99" s="15"/>
      <c r="K99" s="13"/>
      <c r="L99" s="16"/>
      <c r="M99" s="27" t="str">
        <f t="shared" ref="M99" si="12">CONCATENATE(TEXT(A99,"0"),"-",TEXT(C99,"0"),"-",TEXT(E99,"0"),"-",TEXT(LEFT(G99,2),"00"),"-",TEXT(RIGHT(G99,1),"0"),TEXT(I99,"0"),"-",TEXT(K99,"00"))</f>
        <v>1-1-2-12-60-00</v>
      </c>
      <c r="N99" s="27" t="str">
        <f t="shared" ref="N99" si="13">IF(L99="",IF(J99="",IF(H99="",IF(F99="",IF(D99="",B99,D99),F99),H99),J99),L99)</f>
        <v>FONDOS EN AVANCE</v>
      </c>
      <c r="O99" s="4">
        <f t="shared" si="7"/>
        <v>0</v>
      </c>
      <c r="P99" s="16"/>
      <c r="Q99" s="4" t="str">
        <f t="shared" si="9"/>
        <v>1-1-2-12-60-00-000</v>
      </c>
      <c r="R99" s="4" t="str">
        <f t="shared" si="8"/>
        <v>FONDOS EN AVANCE</v>
      </c>
    </row>
    <row r="100" spans="1:18" x14ac:dyDescent="0.2">
      <c r="A100" s="1">
        <v>1</v>
      </c>
      <c r="B100" s="6" t="str">
        <f>VLOOKUP(A100,'ACTIVOS CODIGO'!A:B,2,0)</f>
        <v>ACTIVO</v>
      </c>
      <c r="C100" s="2">
        <v>1</v>
      </c>
      <c r="D100" s="7" t="str">
        <f>VLOOKUP(C100,'ACTIVOS CODIGO'!C:D,2,0)</f>
        <v>ACTIVO DEL TESORO = ACTIVO CORRIENTE</v>
      </c>
      <c r="E100" s="3">
        <v>2</v>
      </c>
      <c r="F100" s="8" t="str">
        <f>VLOOKUP(E100,'ACTIVOS CODIGO'!E:F,2,0)</f>
        <v>ACTIVO EXIGIBLE</v>
      </c>
      <c r="G100" s="10">
        <v>126</v>
      </c>
      <c r="H100" s="10" t="str">
        <f>VLOOKUP(G100,'PUB 21'!$A$1:$B$29,2,0)</f>
        <v>FONDOS EN AVANCE</v>
      </c>
      <c r="I100" s="17"/>
      <c r="J100" s="15"/>
      <c r="K100" s="13"/>
      <c r="L100" s="16"/>
      <c r="M100" s="27" t="str">
        <f t="shared" si="10"/>
        <v>1-1-2-12-60-00</v>
      </c>
      <c r="N100" s="27" t="str">
        <f t="shared" si="11"/>
        <v>FONDOS EN AVANCE</v>
      </c>
      <c r="O100" s="4">
        <f t="shared" si="7"/>
        <v>1</v>
      </c>
      <c r="P100" s="16" t="s">
        <v>122</v>
      </c>
      <c r="Q100" s="4" t="str">
        <f t="shared" si="9"/>
        <v>1-1-2-12-60-00-001</v>
      </c>
      <c r="R100" s="4" t="str">
        <f t="shared" si="8"/>
        <v>FONDOS EN AVANCE 2012</v>
      </c>
    </row>
    <row r="101" spans="1:18" x14ac:dyDescent="0.2">
      <c r="A101" s="1">
        <v>1</v>
      </c>
      <c r="B101" s="6" t="str">
        <f>VLOOKUP(A101,'ACTIVOS CODIGO'!A:B,2,0)</f>
        <v>ACTIVO</v>
      </c>
      <c r="C101" s="2">
        <v>1</v>
      </c>
      <c r="D101" s="7" t="str">
        <f>VLOOKUP(C101,'ACTIVOS CODIGO'!C:D,2,0)</f>
        <v>ACTIVO DEL TESORO = ACTIVO CORRIENTE</v>
      </c>
      <c r="E101" s="3">
        <v>2</v>
      </c>
      <c r="F101" s="8" t="str">
        <f>VLOOKUP(E101,'ACTIVOS CODIGO'!E:F,2,0)</f>
        <v>ACTIVO EXIGIBLE</v>
      </c>
      <c r="G101" s="10">
        <v>126</v>
      </c>
      <c r="H101" s="10" t="str">
        <f>VLOOKUP(G101,'PUB 21'!$A$1:$B$29,2,0)</f>
        <v>FONDOS EN AVANCE</v>
      </c>
      <c r="I101" s="17"/>
      <c r="J101" s="15"/>
      <c r="K101" s="13"/>
      <c r="L101" s="16"/>
      <c r="M101" s="27" t="str">
        <f t="shared" si="10"/>
        <v>1-1-2-12-60-00</v>
      </c>
      <c r="N101" s="27" t="str">
        <f t="shared" si="11"/>
        <v>FONDOS EN AVANCE</v>
      </c>
      <c r="O101" s="4">
        <f t="shared" si="7"/>
        <v>2</v>
      </c>
      <c r="P101" s="16" t="s">
        <v>123</v>
      </c>
      <c r="Q101" s="4" t="str">
        <f t="shared" si="9"/>
        <v>1-1-2-12-60-00-002</v>
      </c>
      <c r="R101" s="4" t="str">
        <f t="shared" si="8"/>
        <v>FONDOS ADMINISTRADOS DE SALUD</v>
      </c>
    </row>
    <row r="102" spans="1:18" x14ac:dyDescent="0.2">
      <c r="A102" s="1">
        <v>1</v>
      </c>
      <c r="B102" s="6" t="str">
        <f>VLOOKUP(A102,'ACTIVOS CODIGO'!A:B,2,0)</f>
        <v>ACTIVO</v>
      </c>
      <c r="C102" s="2">
        <v>1</v>
      </c>
      <c r="D102" s="7" t="str">
        <f>VLOOKUP(C102,'ACTIVOS CODIGO'!C:D,2,0)</f>
        <v>ACTIVO DEL TESORO = ACTIVO CORRIENTE</v>
      </c>
      <c r="E102" s="3">
        <v>2</v>
      </c>
      <c r="F102" s="8" t="str">
        <f>VLOOKUP(E102,'ACTIVOS CODIGO'!E:F,2,0)</f>
        <v>ACTIVO EXIGIBLE</v>
      </c>
      <c r="G102" s="10">
        <v>126</v>
      </c>
      <c r="H102" s="10" t="str">
        <f>VLOOKUP(G102,'PUB 21'!$A$1:$B$29,2,0)</f>
        <v>FONDOS EN AVANCE</v>
      </c>
      <c r="I102" s="17"/>
      <c r="J102" s="15"/>
      <c r="K102" s="13"/>
      <c r="L102" s="16"/>
      <c r="M102" s="27" t="str">
        <f t="shared" si="10"/>
        <v>1-1-2-12-60-00</v>
      </c>
      <c r="N102" s="27" t="str">
        <f t="shared" si="11"/>
        <v>FONDOS EN AVANCE</v>
      </c>
      <c r="O102" s="4">
        <f t="shared" si="7"/>
        <v>3</v>
      </c>
      <c r="P102" s="16" t="s">
        <v>124</v>
      </c>
      <c r="Q102" s="4" t="str">
        <f t="shared" si="9"/>
        <v>1-1-2-12-60-00-003</v>
      </c>
      <c r="R102" s="4" t="str">
        <f t="shared" si="8"/>
        <v>FONDOS EN AVANCE 2013</v>
      </c>
    </row>
    <row r="103" spans="1:18" x14ac:dyDescent="0.2">
      <c r="A103" s="1">
        <v>1</v>
      </c>
      <c r="B103" s="6" t="str">
        <f>VLOOKUP(A103,'ACTIVOS CODIGO'!A:B,2,0)</f>
        <v>ACTIVO</v>
      </c>
      <c r="C103" s="2">
        <v>1</v>
      </c>
      <c r="D103" s="7" t="str">
        <f>VLOOKUP(C103,'ACTIVOS CODIGO'!C:D,2,0)</f>
        <v>ACTIVO DEL TESORO = ACTIVO CORRIENTE</v>
      </c>
      <c r="E103" s="3">
        <v>2</v>
      </c>
      <c r="F103" s="8" t="str">
        <f>VLOOKUP(E103,'ACTIVOS CODIGO'!E:F,2,0)</f>
        <v>ACTIVO EXIGIBLE</v>
      </c>
      <c r="G103" s="10">
        <v>126</v>
      </c>
      <c r="H103" s="10" t="str">
        <f>VLOOKUP(G103,'PUB 21'!$A$1:$B$29,2,0)</f>
        <v>FONDOS EN AVANCE</v>
      </c>
      <c r="I103" s="17"/>
      <c r="J103" s="15"/>
      <c r="K103" s="13"/>
      <c r="L103" s="16"/>
      <c r="M103" s="27" t="str">
        <f t="shared" si="10"/>
        <v>1-1-2-12-60-00</v>
      </c>
      <c r="N103" s="27" t="str">
        <f t="shared" si="11"/>
        <v>FONDOS EN AVANCE</v>
      </c>
      <c r="O103" s="4">
        <f t="shared" si="7"/>
        <v>4</v>
      </c>
      <c r="P103" s="16" t="s">
        <v>125</v>
      </c>
      <c r="Q103" s="4" t="str">
        <f t="shared" si="9"/>
        <v>1-1-2-12-60-00-004</v>
      </c>
      <c r="R103" s="4" t="str">
        <f t="shared" si="8"/>
        <v>FONDOS ADMI. DE SALUD 2013</v>
      </c>
    </row>
    <row r="104" spans="1:18" x14ac:dyDescent="0.2">
      <c r="A104" s="1">
        <v>1</v>
      </c>
      <c r="B104" s="6" t="str">
        <f>VLOOKUP(A104,'ACTIVOS CODIGO'!A:B,2,0)</f>
        <v>ACTIVO</v>
      </c>
      <c r="C104" s="2">
        <v>1</v>
      </c>
      <c r="D104" s="7" t="str">
        <f>VLOOKUP(C104,'ACTIVOS CODIGO'!C:D,2,0)</f>
        <v>ACTIVO DEL TESORO = ACTIVO CORRIENTE</v>
      </c>
      <c r="E104" s="3">
        <v>2</v>
      </c>
      <c r="F104" s="8" t="str">
        <f>VLOOKUP(E104,'ACTIVOS CODIGO'!E:F,2,0)</f>
        <v>ACTIVO EXIGIBLE</v>
      </c>
      <c r="G104" s="10">
        <v>126</v>
      </c>
      <c r="H104" s="10" t="str">
        <f>VLOOKUP(G104,'PUB 21'!$A$1:$B$29,2,0)</f>
        <v>FONDOS EN AVANCE</v>
      </c>
      <c r="I104" s="17"/>
      <c r="J104" s="15"/>
      <c r="K104" s="13"/>
      <c r="L104" s="16"/>
      <c r="M104" s="27" t="str">
        <f t="shared" si="10"/>
        <v>1-1-2-12-60-00</v>
      </c>
      <c r="N104" s="27" t="str">
        <f t="shared" si="11"/>
        <v>FONDOS EN AVANCE</v>
      </c>
      <c r="O104" s="4">
        <f t="shared" si="7"/>
        <v>5</v>
      </c>
      <c r="P104" s="16" t="s">
        <v>126</v>
      </c>
      <c r="Q104" s="4" t="str">
        <f t="shared" si="9"/>
        <v>1-1-2-12-60-00-005</v>
      </c>
      <c r="R104" s="4" t="str">
        <f t="shared" si="8"/>
        <v>FONDOS EN AVANCE 2018</v>
      </c>
    </row>
    <row r="105" spans="1:18" x14ac:dyDescent="0.2">
      <c r="A105" s="1">
        <v>1</v>
      </c>
      <c r="B105" s="6" t="str">
        <f>VLOOKUP(A105,'ACTIVOS CODIGO'!A:B,2,0)</f>
        <v>ACTIVO</v>
      </c>
      <c r="C105" s="2">
        <v>1</v>
      </c>
      <c r="D105" s="7" t="str">
        <f>VLOOKUP(C105,'ACTIVOS CODIGO'!C:D,2,0)</f>
        <v>ACTIVO DEL TESORO = ACTIVO CORRIENTE</v>
      </c>
      <c r="E105" s="3">
        <v>2</v>
      </c>
      <c r="F105" s="8" t="str">
        <f>VLOOKUP(E105,'ACTIVOS CODIGO'!E:F,2,0)</f>
        <v>ACTIVO EXIGIBLE</v>
      </c>
      <c r="G105" s="10">
        <v>126</v>
      </c>
      <c r="H105" s="10" t="str">
        <f>VLOOKUP(G105,'PUB 21'!$A$1:$B$29,2,0)</f>
        <v>FONDOS EN AVANCE</v>
      </c>
      <c r="I105" s="17"/>
      <c r="J105" s="15"/>
      <c r="K105" s="13"/>
      <c r="L105" s="14"/>
      <c r="M105" s="27" t="str">
        <f t="shared" si="10"/>
        <v>1-1-2-12-60-00</v>
      </c>
      <c r="N105" s="27" t="str">
        <f t="shared" si="11"/>
        <v>FONDOS EN AVANCE</v>
      </c>
      <c r="O105" s="4">
        <f t="shared" si="7"/>
        <v>6</v>
      </c>
      <c r="P105" s="16" t="s">
        <v>127</v>
      </c>
      <c r="Q105" s="4" t="str">
        <f t="shared" si="9"/>
        <v>1-1-2-12-60-00-006</v>
      </c>
      <c r="R105" s="4" t="str">
        <f t="shared" si="8"/>
        <v>SINDICATURA MUNICIPAL 2018</v>
      </c>
    </row>
    <row r="106" spans="1:18" x14ac:dyDescent="0.2">
      <c r="A106" s="1">
        <v>1</v>
      </c>
      <c r="B106" s="6" t="str">
        <f>VLOOKUP(A106,'ACTIVOS CODIGO'!A:B,2,0)</f>
        <v>ACTIVO</v>
      </c>
      <c r="C106" s="2">
        <v>1</v>
      </c>
      <c r="D106" s="7" t="str">
        <f>VLOOKUP(C106,'ACTIVOS CODIGO'!C:D,2,0)</f>
        <v>ACTIVO DEL TESORO = ACTIVO CORRIENTE</v>
      </c>
      <c r="E106" s="3">
        <v>2</v>
      </c>
      <c r="F106" s="8" t="str">
        <f>VLOOKUP(E106,'ACTIVOS CODIGO'!E:F,2,0)</f>
        <v>ACTIVO EXIGIBLE</v>
      </c>
      <c r="G106" s="10">
        <v>126</v>
      </c>
      <c r="H106" s="10" t="str">
        <f>VLOOKUP(G106,'PUB 21'!$A$1:$B$29,2,0)</f>
        <v>FONDOS EN AVANCE</v>
      </c>
      <c r="I106" s="17"/>
      <c r="J106" s="15"/>
      <c r="K106" s="13"/>
      <c r="L106" s="14"/>
      <c r="M106" s="27" t="str">
        <f t="shared" si="10"/>
        <v>1-1-2-12-60-00</v>
      </c>
      <c r="N106" s="27" t="str">
        <f t="shared" si="11"/>
        <v>FONDOS EN AVANCE</v>
      </c>
      <c r="O106" s="4">
        <f t="shared" si="7"/>
        <v>7</v>
      </c>
      <c r="P106" s="16" t="s">
        <v>128</v>
      </c>
      <c r="Q106" s="4" t="str">
        <f t="shared" si="9"/>
        <v>1-1-2-12-60-00-007</v>
      </c>
      <c r="R106" s="4" t="str">
        <f t="shared" si="8"/>
        <v>DIRECCION DE RECURSOS HUMANOS 2018</v>
      </c>
    </row>
    <row r="107" spans="1:18" x14ac:dyDescent="0.2">
      <c r="A107" s="1">
        <v>1</v>
      </c>
      <c r="B107" s="6" t="str">
        <f>VLOOKUP(A107,'ACTIVOS CODIGO'!A:B,2,0)</f>
        <v>ACTIVO</v>
      </c>
      <c r="C107" s="2">
        <v>1</v>
      </c>
      <c r="D107" s="7" t="str">
        <f>VLOOKUP(C107,'ACTIVOS CODIGO'!C:D,2,0)</f>
        <v>ACTIVO DEL TESORO = ACTIVO CORRIENTE</v>
      </c>
      <c r="E107" s="3">
        <v>2</v>
      </c>
      <c r="F107" s="8" t="str">
        <f>VLOOKUP(E107,'ACTIVOS CODIGO'!E:F,2,0)</f>
        <v>ACTIVO EXIGIBLE</v>
      </c>
      <c r="G107" s="10">
        <v>126</v>
      </c>
      <c r="H107" s="10" t="str">
        <f>VLOOKUP(G107,'PUB 21'!$A$1:$B$29,2,0)</f>
        <v>FONDOS EN AVANCE</v>
      </c>
      <c r="I107" s="17"/>
      <c r="J107" s="15"/>
      <c r="K107" s="13"/>
      <c r="L107" s="14"/>
      <c r="M107" s="27" t="str">
        <f t="shared" si="10"/>
        <v>1-1-2-12-60-00</v>
      </c>
      <c r="N107" s="27" t="str">
        <f t="shared" si="11"/>
        <v>FONDOS EN AVANCE</v>
      </c>
      <c r="O107" s="4">
        <f t="shared" si="7"/>
        <v>8</v>
      </c>
      <c r="P107" s="16" t="s">
        <v>129</v>
      </c>
      <c r="Q107" s="4" t="str">
        <f t="shared" si="9"/>
        <v>1-1-2-12-60-00-008</v>
      </c>
      <c r="R107" s="4" t="str">
        <f t="shared" si="8"/>
        <v>SUMAT 2018</v>
      </c>
    </row>
    <row r="108" spans="1:18" x14ac:dyDescent="0.2">
      <c r="A108" s="1">
        <v>1</v>
      </c>
      <c r="B108" s="6" t="str">
        <f>VLOOKUP(A108,'ACTIVOS CODIGO'!A:B,2,0)</f>
        <v>ACTIVO</v>
      </c>
      <c r="C108" s="2">
        <v>1</v>
      </c>
      <c r="D108" s="7" t="str">
        <f>VLOOKUP(C108,'ACTIVOS CODIGO'!C:D,2,0)</f>
        <v>ACTIVO DEL TESORO = ACTIVO CORRIENTE</v>
      </c>
      <c r="E108" s="3">
        <v>2</v>
      </c>
      <c r="F108" s="8" t="str">
        <f>VLOOKUP(E108,'ACTIVOS CODIGO'!E:F,2,0)</f>
        <v>ACTIVO EXIGIBLE</v>
      </c>
      <c r="G108" s="10">
        <v>126</v>
      </c>
      <c r="H108" s="10" t="str">
        <f>VLOOKUP(G108,'PUB 21'!$A$1:$B$29,2,0)</f>
        <v>FONDOS EN AVANCE</v>
      </c>
      <c r="I108" s="17"/>
      <c r="J108" s="15"/>
      <c r="K108" s="13"/>
      <c r="L108" s="14"/>
      <c r="M108" s="27" t="str">
        <f t="shared" si="10"/>
        <v>1-1-2-12-60-00</v>
      </c>
      <c r="N108" s="27" t="str">
        <f t="shared" si="11"/>
        <v>FONDOS EN AVANCE</v>
      </c>
      <c r="O108" s="4">
        <f t="shared" si="7"/>
        <v>9</v>
      </c>
      <c r="P108" s="16" t="s">
        <v>130</v>
      </c>
      <c r="Q108" s="4" t="str">
        <f t="shared" si="9"/>
        <v>1-1-2-12-60-00-009</v>
      </c>
      <c r="R108" s="4" t="str">
        <f t="shared" si="8"/>
        <v>CAMARA MUNICIPAL 2018</v>
      </c>
    </row>
    <row r="109" spans="1:18" x14ac:dyDescent="0.2">
      <c r="A109" s="1">
        <v>1</v>
      </c>
      <c r="B109" s="6" t="str">
        <f>VLOOKUP(A109,'ACTIVOS CODIGO'!A:B,2,0)</f>
        <v>ACTIVO</v>
      </c>
      <c r="C109" s="2">
        <v>1</v>
      </c>
      <c r="D109" s="7" t="str">
        <f>VLOOKUP(C109,'ACTIVOS CODIGO'!C:D,2,0)</f>
        <v>ACTIVO DEL TESORO = ACTIVO CORRIENTE</v>
      </c>
      <c r="E109" s="3">
        <v>2</v>
      </c>
      <c r="F109" s="8" t="str">
        <f>VLOOKUP(E109,'ACTIVOS CODIGO'!E:F,2,0)</f>
        <v>ACTIVO EXIGIBLE</v>
      </c>
      <c r="G109" s="10">
        <v>126</v>
      </c>
      <c r="H109" s="10" t="str">
        <f>VLOOKUP(G109,'PUB 21'!$A$1:$B$29,2,0)</f>
        <v>FONDOS EN AVANCE</v>
      </c>
      <c r="I109" s="17"/>
      <c r="J109" s="15"/>
      <c r="K109" s="13"/>
      <c r="L109" s="14"/>
      <c r="M109" s="27" t="str">
        <f t="shared" si="10"/>
        <v>1-1-2-12-60-00</v>
      </c>
      <c r="N109" s="27" t="str">
        <f t="shared" si="11"/>
        <v>FONDOS EN AVANCE</v>
      </c>
      <c r="O109" s="4">
        <f t="shared" si="7"/>
        <v>10</v>
      </c>
      <c r="P109" s="16" t="s">
        <v>131</v>
      </c>
      <c r="Q109" s="4" t="str">
        <f t="shared" si="9"/>
        <v>1-1-2-12-60-00-010</v>
      </c>
      <c r="R109" s="4" t="str">
        <f t="shared" si="8"/>
        <v>FONDOS EN AVANCE 2019</v>
      </c>
    </row>
    <row r="110" spans="1:18" x14ac:dyDescent="0.2">
      <c r="A110" s="1">
        <v>1</v>
      </c>
      <c r="B110" s="6" t="str">
        <f>VLOOKUP(A110,'ACTIVOS CODIGO'!A:B,2,0)</f>
        <v>ACTIVO</v>
      </c>
      <c r="C110" s="2">
        <v>1</v>
      </c>
      <c r="D110" s="7" t="str">
        <f>VLOOKUP(C110,'ACTIVOS CODIGO'!C:D,2,0)</f>
        <v>ACTIVO DEL TESORO = ACTIVO CORRIENTE</v>
      </c>
      <c r="E110" s="3">
        <v>2</v>
      </c>
      <c r="F110" s="8" t="str">
        <f>VLOOKUP(E110,'ACTIVOS CODIGO'!E:F,2,0)</f>
        <v>ACTIVO EXIGIBLE</v>
      </c>
      <c r="G110" s="10">
        <v>126</v>
      </c>
      <c r="H110" s="10" t="str">
        <f>VLOOKUP(G110,'PUB 21'!$A$1:$B$29,2,0)</f>
        <v>FONDOS EN AVANCE</v>
      </c>
      <c r="I110" s="17"/>
      <c r="J110" s="15"/>
      <c r="K110" s="13"/>
      <c r="L110" s="14"/>
      <c r="M110" s="27" t="str">
        <f t="shared" si="10"/>
        <v>1-1-2-12-60-00</v>
      </c>
      <c r="N110" s="27" t="str">
        <f t="shared" si="11"/>
        <v>FONDOS EN AVANCE</v>
      </c>
      <c r="O110" s="4">
        <f t="shared" si="7"/>
        <v>11</v>
      </c>
      <c r="P110" s="16" t="s">
        <v>132</v>
      </c>
      <c r="Q110" s="4" t="str">
        <f t="shared" si="9"/>
        <v>1-1-2-12-60-00-011</v>
      </c>
      <c r="R110" s="4" t="str">
        <f t="shared" si="8"/>
        <v>SINDICATURA MUNICIPAL 2019</v>
      </c>
    </row>
    <row r="111" spans="1:18" x14ac:dyDescent="0.2">
      <c r="A111" s="1">
        <v>1</v>
      </c>
      <c r="B111" s="6" t="str">
        <f>VLOOKUP(A111,'ACTIVOS CODIGO'!A:B,2,0)</f>
        <v>ACTIVO</v>
      </c>
      <c r="C111" s="2">
        <v>1</v>
      </c>
      <c r="D111" s="7" t="str">
        <f>VLOOKUP(C111,'ACTIVOS CODIGO'!C:D,2,0)</f>
        <v>ACTIVO DEL TESORO = ACTIVO CORRIENTE</v>
      </c>
      <c r="E111" s="3">
        <v>2</v>
      </c>
      <c r="F111" s="8" t="str">
        <f>VLOOKUP(E111,'ACTIVOS CODIGO'!E:F,2,0)</f>
        <v>ACTIVO EXIGIBLE</v>
      </c>
      <c r="G111" s="10">
        <v>126</v>
      </c>
      <c r="H111" s="10" t="str">
        <f>VLOOKUP(G111,'PUB 21'!$A$1:$B$29,2,0)</f>
        <v>FONDOS EN AVANCE</v>
      </c>
      <c r="I111" s="17"/>
      <c r="J111" s="15"/>
      <c r="K111" s="13"/>
      <c r="L111" s="14"/>
      <c r="M111" s="27" t="str">
        <f t="shared" si="10"/>
        <v>1-1-2-12-60-00</v>
      </c>
      <c r="N111" s="27" t="str">
        <f t="shared" si="11"/>
        <v>FONDOS EN AVANCE</v>
      </c>
      <c r="O111" s="4">
        <f t="shared" si="7"/>
        <v>12</v>
      </c>
      <c r="P111" s="16" t="s">
        <v>133</v>
      </c>
      <c r="Q111" s="4" t="str">
        <f t="shared" si="9"/>
        <v>1-1-2-12-60-00-012</v>
      </c>
      <c r="R111" s="4" t="str">
        <f t="shared" si="8"/>
        <v>DIRECCION DE RECURSOS HUMANOS 2019</v>
      </c>
    </row>
    <row r="112" spans="1:18" x14ac:dyDescent="0.2">
      <c r="A112" s="1">
        <v>1</v>
      </c>
      <c r="B112" s="6" t="str">
        <f>VLOOKUP(A112,'ACTIVOS CODIGO'!A:B,2,0)</f>
        <v>ACTIVO</v>
      </c>
      <c r="C112" s="2">
        <v>1</v>
      </c>
      <c r="D112" s="7" t="str">
        <f>VLOOKUP(C112,'ACTIVOS CODIGO'!C:D,2,0)</f>
        <v>ACTIVO DEL TESORO = ACTIVO CORRIENTE</v>
      </c>
      <c r="E112" s="3">
        <v>2</v>
      </c>
      <c r="F112" s="8" t="str">
        <f>VLOOKUP(E112,'ACTIVOS CODIGO'!E:F,2,0)</f>
        <v>ACTIVO EXIGIBLE</v>
      </c>
      <c r="G112" s="10">
        <v>126</v>
      </c>
      <c r="H112" s="10" t="str">
        <f>VLOOKUP(G112,'PUB 21'!$A$1:$B$29,2,0)</f>
        <v>FONDOS EN AVANCE</v>
      </c>
      <c r="I112" s="17"/>
      <c r="J112" s="15"/>
      <c r="K112" s="13"/>
      <c r="L112" s="14"/>
      <c r="M112" s="27" t="str">
        <f t="shared" si="10"/>
        <v>1-1-2-12-60-00</v>
      </c>
      <c r="N112" s="27" t="str">
        <f t="shared" si="11"/>
        <v>FONDOS EN AVANCE</v>
      </c>
      <c r="O112" s="4">
        <f t="shared" si="7"/>
        <v>13</v>
      </c>
      <c r="P112" s="16" t="s">
        <v>134</v>
      </c>
      <c r="Q112" s="4" t="str">
        <f t="shared" si="9"/>
        <v>1-1-2-12-60-00-013</v>
      </c>
      <c r="R112" s="4" t="str">
        <f t="shared" si="8"/>
        <v>SUMAT 2019</v>
      </c>
    </row>
    <row r="113" spans="1:18" x14ac:dyDescent="0.2">
      <c r="A113" s="1">
        <v>1</v>
      </c>
      <c r="B113" s="6" t="str">
        <f>VLOOKUP(A113,'ACTIVOS CODIGO'!A:B,2,0)</f>
        <v>ACTIVO</v>
      </c>
      <c r="C113" s="2">
        <v>1</v>
      </c>
      <c r="D113" s="7" t="str">
        <f>VLOOKUP(C113,'ACTIVOS CODIGO'!C:D,2,0)</f>
        <v>ACTIVO DEL TESORO = ACTIVO CORRIENTE</v>
      </c>
      <c r="E113" s="3">
        <v>2</v>
      </c>
      <c r="F113" s="8" t="str">
        <f>VLOOKUP(E113,'ACTIVOS CODIGO'!E:F,2,0)</f>
        <v>ACTIVO EXIGIBLE</v>
      </c>
      <c r="G113" s="10">
        <v>126</v>
      </c>
      <c r="H113" s="10" t="str">
        <f>VLOOKUP(G113,'PUB 21'!$A$1:$B$29,2,0)</f>
        <v>FONDOS EN AVANCE</v>
      </c>
      <c r="I113" s="17"/>
      <c r="J113" s="15"/>
      <c r="K113" s="13"/>
      <c r="L113" s="14"/>
      <c r="M113" s="27" t="str">
        <f t="shared" si="10"/>
        <v>1-1-2-12-60-00</v>
      </c>
      <c r="N113" s="27" t="str">
        <f t="shared" si="11"/>
        <v>FONDOS EN AVANCE</v>
      </c>
      <c r="O113" s="4">
        <f t="shared" si="7"/>
        <v>14</v>
      </c>
      <c r="P113" s="16" t="s">
        <v>135</v>
      </c>
      <c r="Q113" s="4" t="str">
        <f t="shared" si="9"/>
        <v>1-1-2-12-60-00-014</v>
      </c>
      <c r="R113" s="4" t="str">
        <f t="shared" si="8"/>
        <v>CAMARA MUNICIPAL 2019</v>
      </c>
    </row>
    <row r="114" spans="1:18" x14ac:dyDescent="0.2">
      <c r="A114" s="1">
        <v>1</v>
      </c>
      <c r="B114" s="6" t="str">
        <f>VLOOKUP(A114,'ACTIVOS CODIGO'!A:B,2,0)</f>
        <v>ACTIVO</v>
      </c>
      <c r="C114" s="2">
        <v>1</v>
      </c>
      <c r="D114" s="7" t="str">
        <f>VLOOKUP(C114,'ACTIVOS CODIGO'!C:D,2,0)</f>
        <v>ACTIVO DEL TESORO = ACTIVO CORRIENTE</v>
      </c>
      <c r="E114" s="3">
        <v>2</v>
      </c>
      <c r="F114" s="8" t="str">
        <f>VLOOKUP(E114,'ACTIVOS CODIGO'!E:F,2,0)</f>
        <v>ACTIVO EXIGIBLE</v>
      </c>
      <c r="G114" s="10">
        <v>126</v>
      </c>
      <c r="H114" s="10" t="str">
        <f>VLOOKUP(G114,'PUB 21'!$A$1:$B$29,2,0)</f>
        <v>FONDOS EN AVANCE</v>
      </c>
      <c r="I114" s="17"/>
      <c r="J114" s="15"/>
      <c r="K114" s="13"/>
      <c r="L114" s="14"/>
      <c r="M114" s="27" t="str">
        <f t="shared" si="10"/>
        <v>1-1-2-12-60-00</v>
      </c>
      <c r="N114" s="27" t="str">
        <f t="shared" si="11"/>
        <v>FONDOS EN AVANCE</v>
      </c>
      <c r="O114" s="4">
        <f t="shared" si="7"/>
        <v>15</v>
      </c>
      <c r="P114" s="16" t="s">
        <v>136</v>
      </c>
      <c r="Q114" s="4" t="str">
        <f t="shared" si="9"/>
        <v>1-1-2-12-60-00-015</v>
      </c>
      <c r="R114" s="4" t="str">
        <f t="shared" si="8"/>
        <v>FONDOS EN AVANCE 2020</v>
      </c>
    </row>
    <row r="115" spans="1:18" x14ac:dyDescent="0.2">
      <c r="A115" s="1">
        <v>1</v>
      </c>
      <c r="B115" s="6" t="str">
        <f>VLOOKUP(A115,'ACTIVOS CODIGO'!A:B,2,0)</f>
        <v>ACTIVO</v>
      </c>
      <c r="C115" s="2">
        <v>1</v>
      </c>
      <c r="D115" s="7" t="str">
        <f>VLOOKUP(C115,'ACTIVOS CODIGO'!C:D,2,0)</f>
        <v>ACTIVO DEL TESORO = ACTIVO CORRIENTE</v>
      </c>
      <c r="E115" s="3">
        <v>2</v>
      </c>
      <c r="F115" s="8" t="str">
        <f>VLOOKUP(E115,'ACTIVOS CODIGO'!E:F,2,0)</f>
        <v>ACTIVO EXIGIBLE</v>
      </c>
      <c r="G115" s="10">
        <v>126</v>
      </c>
      <c r="H115" s="10" t="str">
        <f>VLOOKUP(G115,'PUB 21'!$A$1:$B$29,2,0)</f>
        <v>FONDOS EN AVANCE</v>
      </c>
      <c r="I115" s="17"/>
      <c r="J115" s="15"/>
      <c r="K115" s="13"/>
      <c r="L115" s="14"/>
      <c r="M115" s="27" t="str">
        <f t="shared" si="10"/>
        <v>1-1-2-12-60-00</v>
      </c>
      <c r="N115" s="27" t="str">
        <f t="shared" si="11"/>
        <v>FONDOS EN AVANCE</v>
      </c>
      <c r="O115" s="4">
        <f t="shared" si="7"/>
        <v>16</v>
      </c>
      <c r="P115" s="16" t="s">
        <v>137</v>
      </c>
      <c r="Q115" s="4" t="str">
        <f t="shared" si="9"/>
        <v>1-1-2-12-60-00-016</v>
      </c>
      <c r="R115" s="4" t="str">
        <f t="shared" si="8"/>
        <v>SINDICATURA MUNICIPAL 2020</v>
      </c>
    </row>
    <row r="116" spans="1:18" x14ac:dyDescent="0.2">
      <c r="A116" s="1">
        <v>1</v>
      </c>
      <c r="B116" s="6" t="str">
        <f>VLOOKUP(A116,'ACTIVOS CODIGO'!A:B,2,0)</f>
        <v>ACTIVO</v>
      </c>
      <c r="C116" s="2">
        <v>1</v>
      </c>
      <c r="D116" s="7" t="str">
        <f>VLOOKUP(C116,'ACTIVOS CODIGO'!C:D,2,0)</f>
        <v>ACTIVO DEL TESORO = ACTIVO CORRIENTE</v>
      </c>
      <c r="E116" s="3">
        <v>2</v>
      </c>
      <c r="F116" s="8" t="str">
        <f>VLOOKUP(E116,'ACTIVOS CODIGO'!E:F,2,0)</f>
        <v>ACTIVO EXIGIBLE</v>
      </c>
      <c r="G116" s="10">
        <v>126</v>
      </c>
      <c r="H116" s="10" t="str">
        <f>VLOOKUP(G116,'PUB 21'!$A$1:$B$29,2,0)</f>
        <v>FONDOS EN AVANCE</v>
      </c>
      <c r="I116" s="17"/>
      <c r="J116" s="15"/>
      <c r="K116" s="13"/>
      <c r="L116" s="14"/>
      <c r="M116" s="27" t="str">
        <f t="shared" si="10"/>
        <v>1-1-2-12-60-00</v>
      </c>
      <c r="N116" s="27" t="str">
        <f t="shared" si="11"/>
        <v>FONDOS EN AVANCE</v>
      </c>
      <c r="O116" s="4">
        <f t="shared" si="7"/>
        <v>17</v>
      </c>
      <c r="P116" s="16" t="s">
        <v>138</v>
      </c>
      <c r="Q116" s="4" t="str">
        <f t="shared" si="9"/>
        <v>1-1-2-12-60-00-017</v>
      </c>
      <c r="R116" s="4" t="str">
        <f t="shared" si="8"/>
        <v>DIR. DE RECURSOS HUMANOS 2020</v>
      </c>
    </row>
    <row r="117" spans="1:18" x14ac:dyDescent="0.2">
      <c r="A117" s="1">
        <v>1</v>
      </c>
      <c r="B117" s="6" t="str">
        <f>VLOOKUP(A117,'ACTIVOS CODIGO'!A:B,2,0)</f>
        <v>ACTIVO</v>
      </c>
      <c r="C117" s="2">
        <v>1</v>
      </c>
      <c r="D117" s="7" t="str">
        <f>VLOOKUP(C117,'ACTIVOS CODIGO'!C:D,2,0)</f>
        <v>ACTIVO DEL TESORO = ACTIVO CORRIENTE</v>
      </c>
      <c r="E117" s="3">
        <v>2</v>
      </c>
      <c r="F117" s="8" t="str">
        <f>VLOOKUP(E117,'ACTIVOS CODIGO'!E:F,2,0)</f>
        <v>ACTIVO EXIGIBLE</v>
      </c>
      <c r="G117" s="10">
        <v>126</v>
      </c>
      <c r="H117" s="10" t="str">
        <f>VLOOKUP(G117,'PUB 21'!$A$1:$B$29,2,0)</f>
        <v>FONDOS EN AVANCE</v>
      </c>
      <c r="I117" s="17"/>
      <c r="J117" s="15"/>
      <c r="K117" s="13"/>
      <c r="L117" s="14"/>
      <c r="M117" s="27" t="str">
        <f t="shared" si="10"/>
        <v>1-1-2-12-60-00</v>
      </c>
      <c r="N117" s="27" t="str">
        <f t="shared" si="11"/>
        <v>FONDOS EN AVANCE</v>
      </c>
      <c r="O117" s="4">
        <f t="shared" si="7"/>
        <v>18</v>
      </c>
      <c r="P117" s="16" t="s">
        <v>139</v>
      </c>
      <c r="Q117" s="4" t="str">
        <f t="shared" si="9"/>
        <v>1-1-2-12-60-00-018</v>
      </c>
      <c r="R117" s="4" t="str">
        <f t="shared" si="8"/>
        <v>SUMAT 2020</v>
      </c>
    </row>
    <row r="118" spans="1:18" x14ac:dyDescent="0.2">
      <c r="A118" s="1">
        <v>1</v>
      </c>
      <c r="B118" s="6" t="str">
        <f>VLOOKUP(A118,'ACTIVOS CODIGO'!A:B,2,0)</f>
        <v>ACTIVO</v>
      </c>
      <c r="C118" s="2">
        <v>1</v>
      </c>
      <c r="D118" s="7" t="str">
        <f>VLOOKUP(C118,'ACTIVOS CODIGO'!C:D,2,0)</f>
        <v>ACTIVO DEL TESORO = ACTIVO CORRIENTE</v>
      </c>
      <c r="E118" s="3">
        <v>2</v>
      </c>
      <c r="F118" s="8" t="str">
        <f>VLOOKUP(E118,'ACTIVOS CODIGO'!E:F,2,0)</f>
        <v>ACTIVO EXIGIBLE</v>
      </c>
      <c r="G118" s="10">
        <v>126</v>
      </c>
      <c r="H118" s="10" t="str">
        <f>VLOOKUP(G118,'PUB 21'!$A$1:$B$29,2,0)</f>
        <v>FONDOS EN AVANCE</v>
      </c>
      <c r="I118" s="17"/>
      <c r="J118" s="15"/>
      <c r="K118" s="13"/>
      <c r="L118" s="14"/>
      <c r="M118" s="27" t="str">
        <f t="shared" si="10"/>
        <v>1-1-2-12-60-00</v>
      </c>
      <c r="N118" s="27" t="str">
        <f t="shared" si="11"/>
        <v>FONDOS EN AVANCE</v>
      </c>
      <c r="O118" s="4">
        <f t="shared" si="7"/>
        <v>19</v>
      </c>
      <c r="P118" s="16" t="s">
        <v>140</v>
      </c>
      <c r="Q118" s="4" t="str">
        <f t="shared" si="9"/>
        <v>1-1-2-12-60-00-019</v>
      </c>
      <c r="R118" s="4" t="str">
        <f t="shared" si="8"/>
        <v>CAMARA MUNICIPAL 2020</v>
      </c>
    </row>
    <row r="119" spans="1:18" x14ac:dyDescent="0.2">
      <c r="A119" s="1">
        <v>1</v>
      </c>
      <c r="B119" s="6" t="str">
        <f>VLOOKUP(A119,'ACTIVOS CODIGO'!A:B,2,0)</f>
        <v>ACTIVO</v>
      </c>
      <c r="C119" s="2">
        <v>1</v>
      </c>
      <c r="D119" s="7" t="str">
        <f>VLOOKUP(C119,'ACTIVOS CODIGO'!C:D,2,0)</f>
        <v>ACTIVO DEL TESORO = ACTIVO CORRIENTE</v>
      </c>
      <c r="E119" s="3">
        <v>2</v>
      </c>
      <c r="F119" s="8" t="str">
        <f>VLOOKUP(E119,'ACTIVOS CODIGO'!E:F,2,0)</f>
        <v>ACTIVO EXIGIBLE</v>
      </c>
      <c r="G119" s="10">
        <v>126</v>
      </c>
      <c r="H119" s="10" t="str">
        <f>VLOOKUP(G119,'PUB 21'!$A$1:$B$29,2,0)</f>
        <v>FONDOS EN AVANCE</v>
      </c>
      <c r="I119" s="17"/>
      <c r="J119" s="15"/>
      <c r="K119" s="13"/>
      <c r="L119" s="14"/>
      <c r="M119" s="27" t="str">
        <f t="shared" si="10"/>
        <v>1-1-2-12-60-00</v>
      </c>
      <c r="N119" s="27" t="str">
        <f t="shared" si="11"/>
        <v>FONDOS EN AVANCE</v>
      </c>
      <c r="O119" s="4">
        <f t="shared" si="7"/>
        <v>20</v>
      </c>
      <c r="P119" s="16" t="s">
        <v>141</v>
      </c>
      <c r="Q119" s="4" t="str">
        <f t="shared" si="9"/>
        <v>1-1-2-12-60-00-020</v>
      </c>
      <c r="R119" s="4" t="str">
        <f t="shared" si="8"/>
        <v>FONDOS EN AVANCE AÑO 2021</v>
      </c>
    </row>
    <row r="120" spans="1:18" x14ac:dyDescent="0.2">
      <c r="A120" s="1">
        <v>1</v>
      </c>
      <c r="B120" s="6" t="str">
        <f>VLOOKUP(A120,'ACTIVOS CODIGO'!A:B,2,0)</f>
        <v>ACTIVO</v>
      </c>
      <c r="C120" s="2">
        <v>1</v>
      </c>
      <c r="D120" s="7" t="str">
        <f>VLOOKUP(C120,'ACTIVOS CODIGO'!C:D,2,0)</f>
        <v>ACTIVO DEL TESORO = ACTIVO CORRIENTE</v>
      </c>
      <c r="E120" s="3">
        <v>2</v>
      </c>
      <c r="F120" s="8" t="str">
        <f>VLOOKUP(E120,'ACTIVOS CODIGO'!E:F,2,0)</f>
        <v>ACTIVO EXIGIBLE</v>
      </c>
      <c r="G120" s="10">
        <v>126</v>
      </c>
      <c r="H120" s="10" t="str">
        <f>VLOOKUP(G120,'PUB 21'!$A$1:$B$29,2,0)</f>
        <v>FONDOS EN AVANCE</v>
      </c>
      <c r="I120" s="17"/>
      <c r="J120" s="15"/>
      <c r="K120" s="13"/>
      <c r="L120" s="14"/>
      <c r="M120" s="27" t="str">
        <f t="shared" si="10"/>
        <v>1-1-2-12-60-00</v>
      </c>
      <c r="N120" s="27" t="str">
        <f t="shared" si="11"/>
        <v>FONDOS EN AVANCE</v>
      </c>
      <c r="O120" s="4">
        <f t="shared" si="7"/>
        <v>21</v>
      </c>
      <c r="P120" s="16" t="s">
        <v>142</v>
      </c>
      <c r="Q120" s="4" t="str">
        <f t="shared" si="9"/>
        <v>1-1-2-12-60-00-021</v>
      </c>
      <c r="R120" s="4" t="str">
        <f t="shared" si="8"/>
        <v>SINDICATURA MUNICIPAL 2021</v>
      </c>
    </row>
    <row r="121" spans="1:18" x14ac:dyDescent="0.2">
      <c r="A121" s="1">
        <v>1</v>
      </c>
      <c r="B121" s="6" t="str">
        <f>VLOOKUP(A121,'ACTIVOS CODIGO'!A:B,2,0)</f>
        <v>ACTIVO</v>
      </c>
      <c r="C121" s="2">
        <v>1</v>
      </c>
      <c r="D121" s="7" t="str">
        <f>VLOOKUP(C121,'ACTIVOS CODIGO'!C:D,2,0)</f>
        <v>ACTIVO DEL TESORO = ACTIVO CORRIENTE</v>
      </c>
      <c r="E121" s="3">
        <v>2</v>
      </c>
      <c r="F121" s="8" t="str">
        <f>VLOOKUP(E121,'ACTIVOS CODIGO'!E:F,2,0)</f>
        <v>ACTIVO EXIGIBLE</v>
      </c>
      <c r="G121" s="10">
        <v>126</v>
      </c>
      <c r="H121" s="10" t="str">
        <f>VLOOKUP(G121,'PUB 21'!$A$1:$B$29,2,0)</f>
        <v>FONDOS EN AVANCE</v>
      </c>
      <c r="I121" s="17"/>
      <c r="J121" s="15"/>
      <c r="K121" s="13"/>
      <c r="L121" s="14"/>
      <c r="M121" s="27" t="str">
        <f t="shared" si="10"/>
        <v>1-1-2-12-60-00</v>
      </c>
      <c r="N121" s="27" t="str">
        <f t="shared" si="11"/>
        <v>FONDOS EN AVANCE</v>
      </c>
      <c r="O121" s="4">
        <f t="shared" si="7"/>
        <v>22</v>
      </c>
      <c r="P121" s="16" t="s">
        <v>143</v>
      </c>
      <c r="Q121" s="4" t="str">
        <f t="shared" si="9"/>
        <v>1-1-2-12-60-00-022</v>
      </c>
      <c r="R121" s="4" t="str">
        <f t="shared" si="8"/>
        <v>DIR. DE RECURSOS HUMANOS 2021</v>
      </c>
    </row>
    <row r="122" spans="1:18" x14ac:dyDescent="0.2">
      <c r="A122" s="1">
        <v>1</v>
      </c>
      <c r="B122" s="6" t="str">
        <f>VLOOKUP(A122,'ACTIVOS CODIGO'!A:B,2,0)</f>
        <v>ACTIVO</v>
      </c>
      <c r="C122" s="2">
        <v>1</v>
      </c>
      <c r="D122" s="7" t="str">
        <f>VLOOKUP(C122,'ACTIVOS CODIGO'!C:D,2,0)</f>
        <v>ACTIVO DEL TESORO = ACTIVO CORRIENTE</v>
      </c>
      <c r="E122" s="3">
        <v>2</v>
      </c>
      <c r="F122" s="8" t="str">
        <f>VLOOKUP(E122,'ACTIVOS CODIGO'!E:F,2,0)</f>
        <v>ACTIVO EXIGIBLE</v>
      </c>
      <c r="G122" s="10">
        <v>126</v>
      </c>
      <c r="H122" s="10" t="str">
        <f>VLOOKUP(G122,'PUB 21'!$A$1:$B$29,2,0)</f>
        <v>FONDOS EN AVANCE</v>
      </c>
      <c r="I122" s="17"/>
      <c r="J122" s="15"/>
      <c r="K122" s="13"/>
      <c r="L122" s="14"/>
      <c r="M122" s="27" t="str">
        <f t="shared" si="10"/>
        <v>1-1-2-12-60-00</v>
      </c>
      <c r="N122" s="27" t="str">
        <f t="shared" si="11"/>
        <v>FONDOS EN AVANCE</v>
      </c>
      <c r="O122" s="4">
        <f t="shared" si="7"/>
        <v>23</v>
      </c>
      <c r="P122" s="16" t="s">
        <v>144</v>
      </c>
      <c r="Q122" s="4" t="str">
        <f t="shared" si="9"/>
        <v>1-1-2-12-60-00-023</v>
      </c>
      <c r="R122" s="4" t="str">
        <f t="shared" si="8"/>
        <v>SUMAR 2021</v>
      </c>
    </row>
    <row r="123" spans="1:18" x14ac:dyDescent="0.2">
      <c r="A123" s="1">
        <v>1</v>
      </c>
      <c r="B123" s="6" t="str">
        <f>VLOOKUP(A123,'ACTIVOS CODIGO'!A:B,2,0)</f>
        <v>ACTIVO</v>
      </c>
      <c r="C123" s="2">
        <v>1</v>
      </c>
      <c r="D123" s="7" t="str">
        <f>VLOOKUP(C123,'ACTIVOS CODIGO'!C:D,2,0)</f>
        <v>ACTIVO DEL TESORO = ACTIVO CORRIENTE</v>
      </c>
      <c r="E123" s="3">
        <v>2</v>
      </c>
      <c r="F123" s="8" t="str">
        <f>VLOOKUP(E123,'ACTIVOS CODIGO'!E:F,2,0)</f>
        <v>ACTIVO EXIGIBLE</v>
      </c>
      <c r="G123" s="10">
        <v>126</v>
      </c>
      <c r="H123" s="10" t="str">
        <f>VLOOKUP(G123,'PUB 21'!$A$1:$B$29,2,0)</f>
        <v>FONDOS EN AVANCE</v>
      </c>
      <c r="I123" s="17"/>
      <c r="J123" s="15"/>
      <c r="K123" s="13"/>
      <c r="L123" s="14"/>
      <c r="M123" s="27" t="str">
        <f t="shared" si="10"/>
        <v>1-1-2-12-60-00</v>
      </c>
      <c r="N123" s="27" t="str">
        <f t="shared" si="11"/>
        <v>FONDOS EN AVANCE</v>
      </c>
      <c r="O123" s="4">
        <f t="shared" si="7"/>
        <v>24</v>
      </c>
      <c r="P123" s="16" t="s">
        <v>145</v>
      </c>
      <c r="Q123" s="4" t="str">
        <f t="shared" si="9"/>
        <v>1-1-2-12-60-00-024</v>
      </c>
      <c r="R123" s="4" t="str">
        <f t="shared" si="8"/>
        <v>CAMARA MUNICIPAL 2021</v>
      </c>
    </row>
    <row r="124" spans="1:18" x14ac:dyDescent="0.2">
      <c r="A124" s="1">
        <v>1</v>
      </c>
      <c r="B124" s="6" t="str">
        <f>VLOOKUP(A124,'ACTIVOS CODIGO'!A:B,2,0)</f>
        <v>ACTIVO</v>
      </c>
      <c r="C124" s="2">
        <v>1</v>
      </c>
      <c r="D124" s="7" t="str">
        <f>VLOOKUP(C124,'ACTIVOS CODIGO'!C:D,2,0)</f>
        <v>ACTIVO DEL TESORO = ACTIVO CORRIENTE</v>
      </c>
      <c r="E124" s="3">
        <v>2</v>
      </c>
      <c r="F124" s="8" t="str">
        <f>VLOOKUP(E124,'ACTIVOS CODIGO'!E:F,2,0)</f>
        <v>ACTIVO EXIGIBLE</v>
      </c>
      <c r="G124" s="10">
        <v>126</v>
      </c>
      <c r="H124" s="10" t="str">
        <f>VLOOKUP(G124,'PUB 21'!$A$1:$B$29,2,0)</f>
        <v>FONDOS EN AVANCE</v>
      </c>
      <c r="I124" s="17"/>
      <c r="J124" s="15"/>
      <c r="K124" s="13"/>
      <c r="L124" s="14"/>
      <c r="M124" s="27" t="str">
        <f t="shared" si="10"/>
        <v>1-1-2-12-60-00</v>
      </c>
      <c r="N124" s="27" t="str">
        <f t="shared" si="11"/>
        <v>FONDOS EN AVANCE</v>
      </c>
      <c r="O124" s="4">
        <f t="shared" si="7"/>
        <v>25</v>
      </c>
      <c r="P124" s="16" t="s">
        <v>146</v>
      </c>
      <c r="Q124" s="4" t="str">
        <f t="shared" si="9"/>
        <v>1-1-2-12-60-00-025</v>
      </c>
      <c r="R124" s="4" t="str">
        <f t="shared" si="8"/>
        <v>FONDOS EN AVANCE AÑO 2022</v>
      </c>
    </row>
    <row r="125" spans="1:18" x14ac:dyDescent="0.2">
      <c r="A125" s="1">
        <v>1</v>
      </c>
      <c r="B125" s="6" t="str">
        <f>VLOOKUP(A125,'ACTIVOS CODIGO'!A:B,2,0)</f>
        <v>ACTIVO</v>
      </c>
      <c r="C125" s="2">
        <v>1</v>
      </c>
      <c r="D125" s="7" t="str">
        <f>VLOOKUP(C125,'ACTIVOS CODIGO'!C:D,2,0)</f>
        <v>ACTIVO DEL TESORO = ACTIVO CORRIENTE</v>
      </c>
      <c r="E125" s="3">
        <v>2</v>
      </c>
      <c r="F125" s="8" t="str">
        <f>VLOOKUP(E125,'ACTIVOS CODIGO'!E:F,2,0)</f>
        <v>ACTIVO EXIGIBLE</v>
      </c>
      <c r="G125" s="10">
        <v>126</v>
      </c>
      <c r="H125" s="10" t="str">
        <f>VLOOKUP(G125,'PUB 21'!$A$1:$B$29,2,0)</f>
        <v>FONDOS EN AVANCE</v>
      </c>
      <c r="I125" s="17"/>
      <c r="J125" s="15"/>
      <c r="K125" s="13"/>
      <c r="L125" s="14"/>
      <c r="M125" s="27" t="str">
        <f t="shared" si="10"/>
        <v>1-1-2-12-60-00</v>
      </c>
      <c r="N125" s="27" t="str">
        <f t="shared" si="11"/>
        <v>FONDOS EN AVANCE</v>
      </c>
      <c r="O125" s="4">
        <f t="shared" si="7"/>
        <v>26</v>
      </c>
      <c r="P125" s="16" t="s">
        <v>147</v>
      </c>
      <c r="Q125" s="4" t="str">
        <f t="shared" si="9"/>
        <v>1-1-2-12-60-00-026</v>
      </c>
      <c r="R125" s="4" t="str">
        <f t="shared" si="8"/>
        <v>SINDICATURA MUNICIPAL 2022</v>
      </c>
    </row>
    <row r="126" spans="1:18" x14ac:dyDescent="0.2">
      <c r="A126" s="1">
        <v>1</v>
      </c>
      <c r="B126" s="6" t="str">
        <f>VLOOKUP(A126,'ACTIVOS CODIGO'!A:B,2,0)</f>
        <v>ACTIVO</v>
      </c>
      <c r="C126" s="2">
        <v>1</v>
      </c>
      <c r="D126" s="7" t="str">
        <f>VLOOKUP(C126,'ACTIVOS CODIGO'!C:D,2,0)</f>
        <v>ACTIVO DEL TESORO = ACTIVO CORRIENTE</v>
      </c>
      <c r="E126" s="3">
        <v>2</v>
      </c>
      <c r="F126" s="8" t="str">
        <f>VLOOKUP(E126,'ACTIVOS CODIGO'!E:F,2,0)</f>
        <v>ACTIVO EXIGIBLE</v>
      </c>
      <c r="G126" s="10">
        <v>126</v>
      </c>
      <c r="H126" s="10" t="str">
        <f>VLOOKUP(G126,'PUB 21'!$A$1:$B$29,2,0)</f>
        <v>FONDOS EN AVANCE</v>
      </c>
      <c r="I126" s="17"/>
      <c r="J126" s="15"/>
      <c r="K126" s="13"/>
      <c r="L126" s="14"/>
      <c r="M126" s="27" t="str">
        <f t="shared" si="10"/>
        <v>1-1-2-12-60-00</v>
      </c>
      <c r="N126" s="27" t="str">
        <f t="shared" si="11"/>
        <v>FONDOS EN AVANCE</v>
      </c>
      <c r="O126" s="4">
        <f t="shared" si="7"/>
        <v>27</v>
      </c>
      <c r="P126" s="16" t="s">
        <v>148</v>
      </c>
      <c r="Q126" s="4" t="str">
        <f t="shared" si="9"/>
        <v>1-1-2-12-60-00-027</v>
      </c>
      <c r="R126" s="4" t="str">
        <f t="shared" si="8"/>
        <v>SUMAR 2022</v>
      </c>
    </row>
    <row r="127" spans="1:18" x14ac:dyDescent="0.2">
      <c r="A127" s="1">
        <v>1</v>
      </c>
      <c r="B127" s="6" t="str">
        <f>VLOOKUP(A127,'ACTIVOS CODIGO'!A:B,2,0)</f>
        <v>ACTIVO</v>
      </c>
      <c r="C127" s="2">
        <v>1</v>
      </c>
      <c r="D127" s="7" t="str">
        <f>VLOOKUP(C127,'ACTIVOS CODIGO'!C:D,2,0)</f>
        <v>ACTIVO DEL TESORO = ACTIVO CORRIENTE</v>
      </c>
      <c r="E127" s="3">
        <v>2</v>
      </c>
      <c r="F127" s="8" t="str">
        <f>VLOOKUP(E127,'ACTIVOS CODIGO'!E:F,2,0)</f>
        <v>ACTIVO EXIGIBLE</v>
      </c>
      <c r="G127" s="10">
        <v>126</v>
      </c>
      <c r="H127" s="10" t="str">
        <f>VLOOKUP(G127,'PUB 21'!$A$1:$B$29,2,0)</f>
        <v>FONDOS EN AVANCE</v>
      </c>
      <c r="I127" s="17"/>
      <c r="J127" s="15"/>
      <c r="K127" s="13"/>
      <c r="L127" s="14"/>
      <c r="M127" s="27" t="str">
        <f t="shared" si="10"/>
        <v>1-1-2-12-60-00</v>
      </c>
      <c r="N127" s="27" t="str">
        <f t="shared" si="11"/>
        <v>FONDOS EN AVANCE</v>
      </c>
      <c r="O127" s="4">
        <f t="shared" si="7"/>
        <v>28</v>
      </c>
      <c r="P127" s="16" t="s">
        <v>149</v>
      </c>
      <c r="Q127" s="4" t="str">
        <f t="shared" si="9"/>
        <v>1-1-2-12-60-00-028</v>
      </c>
      <c r="R127" s="4" t="str">
        <f t="shared" si="8"/>
        <v>CAMARA MUNICIPAL 2022</v>
      </c>
    </row>
    <row r="128" spans="1:18" x14ac:dyDescent="0.2">
      <c r="A128" s="1">
        <v>1</v>
      </c>
      <c r="B128" s="6" t="str">
        <f>VLOOKUP(A128,'ACTIVOS CODIGO'!A:B,2,0)</f>
        <v>ACTIVO</v>
      </c>
      <c r="C128" s="2">
        <v>1</v>
      </c>
      <c r="D128" s="7" t="str">
        <f>VLOOKUP(C128,'ACTIVOS CODIGO'!C:D,2,0)</f>
        <v>ACTIVO DEL TESORO = ACTIVO CORRIENTE</v>
      </c>
      <c r="E128" s="3">
        <v>2</v>
      </c>
      <c r="F128" s="8" t="str">
        <f>VLOOKUP(E128,'ACTIVOS CODIGO'!E:F,2,0)</f>
        <v>ACTIVO EXIGIBLE</v>
      </c>
      <c r="G128" s="10">
        <v>128</v>
      </c>
      <c r="H128" s="10" t="str">
        <f>VLOOKUP(G128,'PUB 21'!$A$1:$B$29,2,0)</f>
        <v>FONDOS ANTICIPADOS</v>
      </c>
      <c r="I128" s="17"/>
      <c r="J128" s="15"/>
      <c r="K128" s="13"/>
      <c r="L128" s="14"/>
      <c r="M128" s="27" t="str">
        <f t="shared" si="10"/>
        <v>1-1-2-12-80-00</v>
      </c>
      <c r="N128" s="27" t="str">
        <f t="shared" si="11"/>
        <v>FONDOS ANTICIPADOS</v>
      </c>
      <c r="O128" s="4">
        <f t="shared" si="7"/>
        <v>0</v>
      </c>
      <c r="P128" s="16"/>
      <c r="Q128" s="4" t="str">
        <f t="shared" si="9"/>
        <v>1-1-2-12-80-00-000</v>
      </c>
      <c r="R128" s="4" t="str">
        <f t="shared" si="8"/>
        <v>FONDOS ANTICIPADOS</v>
      </c>
    </row>
    <row r="129" spans="1:18" x14ac:dyDescent="0.2">
      <c r="A129" s="1">
        <v>1</v>
      </c>
      <c r="B129" s="6" t="str">
        <f>VLOOKUP(A129,'ACTIVOS CODIGO'!A:B,2,0)</f>
        <v>ACTIVO</v>
      </c>
      <c r="C129" s="2">
        <v>1</v>
      </c>
      <c r="D129" s="7" t="str">
        <f>VLOOKUP(C129,'ACTIVOS CODIGO'!C:D,2,0)</f>
        <v>ACTIVO DEL TESORO = ACTIVO CORRIENTE</v>
      </c>
      <c r="E129" s="3">
        <v>2</v>
      </c>
      <c r="F129" s="8" t="str">
        <f>VLOOKUP(E129,'ACTIVOS CODIGO'!E:F,2,0)</f>
        <v>ACTIVO EXIGIBLE</v>
      </c>
      <c r="G129" s="10">
        <v>128</v>
      </c>
      <c r="H129" s="10" t="str">
        <f>VLOOKUP(G129,'PUB 21'!$A$1:$B$29,2,0)</f>
        <v>FONDOS ANTICIPADOS</v>
      </c>
      <c r="I129" s="17"/>
      <c r="J129" s="15"/>
      <c r="K129" s="13"/>
      <c r="L129" s="14"/>
      <c r="M129" s="27" t="str">
        <f t="shared" si="10"/>
        <v>1-1-2-12-80-00</v>
      </c>
      <c r="N129" s="27" t="str">
        <f t="shared" si="11"/>
        <v>FONDOS ANTICIPADOS</v>
      </c>
      <c r="O129" s="4">
        <f t="shared" si="7"/>
        <v>1</v>
      </c>
      <c r="P129" s="16" t="s">
        <v>161</v>
      </c>
      <c r="Q129" s="4" t="str">
        <f t="shared" si="9"/>
        <v>1-1-2-12-80-00-001</v>
      </c>
      <c r="R129" s="4" t="str">
        <f t="shared" si="8"/>
        <v>ANTICIPOS A CONTRATISTAS 2006</v>
      </c>
    </row>
    <row r="130" spans="1:18" x14ac:dyDescent="0.2">
      <c r="A130" s="1">
        <v>1</v>
      </c>
      <c r="B130" s="6" t="str">
        <f>VLOOKUP(A130,'ACTIVOS CODIGO'!A:B,2,0)</f>
        <v>ACTIVO</v>
      </c>
      <c r="C130" s="2">
        <v>1</v>
      </c>
      <c r="D130" s="7" t="str">
        <f>VLOOKUP(C130,'ACTIVOS CODIGO'!C:D,2,0)</f>
        <v>ACTIVO DEL TESORO = ACTIVO CORRIENTE</v>
      </c>
      <c r="E130" s="3">
        <v>2</v>
      </c>
      <c r="F130" s="8" t="str">
        <f>VLOOKUP(E130,'ACTIVOS CODIGO'!E:F,2,0)</f>
        <v>ACTIVO EXIGIBLE</v>
      </c>
      <c r="G130" s="10">
        <v>128</v>
      </c>
      <c r="H130" s="10" t="str">
        <f>VLOOKUP(G130,'PUB 21'!$A$1:$B$29,2,0)</f>
        <v>FONDOS ANTICIPADOS</v>
      </c>
      <c r="I130" s="17"/>
      <c r="J130" s="15"/>
      <c r="K130" s="13"/>
      <c r="L130" s="14"/>
      <c r="M130" s="27" t="str">
        <f t="shared" si="10"/>
        <v>1-1-2-12-80-00</v>
      </c>
      <c r="N130" s="27" t="str">
        <f t="shared" si="11"/>
        <v>FONDOS ANTICIPADOS</v>
      </c>
      <c r="O130" s="4">
        <f t="shared" si="7"/>
        <v>2</v>
      </c>
      <c r="P130" s="16" t="s">
        <v>165</v>
      </c>
      <c r="Q130" s="4" t="str">
        <f t="shared" si="9"/>
        <v>1-1-2-12-80-00-002</v>
      </c>
      <c r="R130" s="4" t="str">
        <f t="shared" si="8"/>
        <v>ANTICIPOS A CONTRATISTAS 2007</v>
      </c>
    </row>
    <row r="131" spans="1:18" x14ac:dyDescent="0.2">
      <c r="A131" s="1">
        <v>1</v>
      </c>
      <c r="B131" s="6" t="str">
        <f>VLOOKUP(A131,'ACTIVOS CODIGO'!A:B,2,0)</f>
        <v>ACTIVO</v>
      </c>
      <c r="C131" s="2">
        <v>1</v>
      </c>
      <c r="D131" s="7" t="str">
        <f>VLOOKUP(C131,'ACTIVOS CODIGO'!C:D,2,0)</f>
        <v>ACTIVO DEL TESORO = ACTIVO CORRIENTE</v>
      </c>
      <c r="E131" s="3">
        <v>2</v>
      </c>
      <c r="F131" s="8" t="str">
        <f>VLOOKUP(E131,'ACTIVOS CODIGO'!E:F,2,0)</f>
        <v>ACTIVO EXIGIBLE</v>
      </c>
      <c r="G131" s="10">
        <v>128</v>
      </c>
      <c r="H131" s="10" t="str">
        <f>VLOOKUP(G131,'PUB 21'!$A$1:$B$29,2,0)</f>
        <v>FONDOS ANTICIPADOS</v>
      </c>
      <c r="I131" s="17"/>
      <c r="J131" s="15"/>
      <c r="K131" s="13"/>
      <c r="L131" s="14"/>
      <c r="M131" s="27" t="str">
        <f t="shared" si="10"/>
        <v>1-1-2-12-80-00</v>
      </c>
      <c r="N131" s="27" t="str">
        <f t="shared" si="11"/>
        <v>FONDOS ANTICIPADOS</v>
      </c>
      <c r="O131" s="4">
        <f t="shared" si="7"/>
        <v>3</v>
      </c>
      <c r="P131" s="16" t="s">
        <v>162</v>
      </c>
      <c r="Q131" s="4" t="str">
        <f t="shared" si="9"/>
        <v>1-1-2-12-80-00-003</v>
      </c>
      <c r="R131" s="4" t="str">
        <f t="shared" si="8"/>
        <v>ANTICIPOS A CONTRATISTAS 2008</v>
      </c>
    </row>
    <row r="132" spans="1:18" x14ac:dyDescent="0.2">
      <c r="A132" s="1">
        <v>1</v>
      </c>
      <c r="B132" s="6" t="str">
        <f>VLOOKUP(A132,'ACTIVOS CODIGO'!A:B,2,0)</f>
        <v>ACTIVO</v>
      </c>
      <c r="C132" s="2">
        <v>1</v>
      </c>
      <c r="D132" s="7" t="str">
        <f>VLOOKUP(C132,'ACTIVOS CODIGO'!C:D,2,0)</f>
        <v>ACTIVO DEL TESORO = ACTIVO CORRIENTE</v>
      </c>
      <c r="E132" s="3">
        <v>2</v>
      </c>
      <c r="F132" s="8" t="str">
        <f>VLOOKUP(E132,'ACTIVOS CODIGO'!E:F,2,0)</f>
        <v>ACTIVO EXIGIBLE</v>
      </c>
      <c r="G132" s="10">
        <v>128</v>
      </c>
      <c r="H132" s="10" t="str">
        <f>VLOOKUP(G132,'PUB 21'!$A$1:$B$29,2,0)</f>
        <v>FONDOS ANTICIPADOS</v>
      </c>
      <c r="I132" s="17"/>
      <c r="J132" s="15"/>
      <c r="K132" s="13"/>
      <c r="L132" s="14"/>
      <c r="M132" s="27" t="str">
        <f t="shared" si="10"/>
        <v>1-1-2-12-80-00</v>
      </c>
      <c r="N132" s="27" t="str">
        <f t="shared" si="11"/>
        <v>FONDOS ANTICIPADOS</v>
      </c>
      <c r="O132" s="4">
        <f t="shared" ref="O132:O195" si="14">IF(P132="",0,IF(M131=M132,IF(O131="",0,O131)+1,""))</f>
        <v>4</v>
      </c>
      <c r="P132" s="16" t="s">
        <v>150</v>
      </c>
      <c r="Q132" s="4" t="str">
        <f t="shared" si="9"/>
        <v>1-1-2-12-80-00-004</v>
      </c>
      <c r="R132" s="4" t="str">
        <f t="shared" ref="R132:R195" si="15">IF(P132="",IF(L132="",IF(J132="",IF(H132="",IF(F132="",IF(D132="",B132,D132),F132),H132),J132),L132),P132)</f>
        <v>ANTICIPOS A CONTRATISTAS 2009</v>
      </c>
    </row>
    <row r="133" spans="1:18" x14ac:dyDescent="0.2">
      <c r="A133" s="1">
        <v>1</v>
      </c>
      <c r="B133" s="6" t="str">
        <f>VLOOKUP(A133,'ACTIVOS CODIGO'!A:B,2,0)</f>
        <v>ACTIVO</v>
      </c>
      <c r="C133" s="2">
        <v>1</v>
      </c>
      <c r="D133" s="7" t="str">
        <f>VLOOKUP(C133,'ACTIVOS CODIGO'!C:D,2,0)</f>
        <v>ACTIVO DEL TESORO = ACTIVO CORRIENTE</v>
      </c>
      <c r="E133" s="3">
        <v>2</v>
      </c>
      <c r="F133" s="8" t="str">
        <f>VLOOKUP(E133,'ACTIVOS CODIGO'!E:F,2,0)</f>
        <v>ACTIVO EXIGIBLE</v>
      </c>
      <c r="G133" s="10">
        <v>128</v>
      </c>
      <c r="H133" s="10" t="str">
        <f>VLOOKUP(G133,'PUB 21'!$A$1:$B$29,2,0)</f>
        <v>FONDOS ANTICIPADOS</v>
      </c>
      <c r="I133" s="17"/>
      <c r="J133" s="15"/>
      <c r="K133" s="13"/>
      <c r="L133" s="14"/>
      <c r="M133" s="27" t="str">
        <f t="shared" si="10"/>
        <v>1-1-2-12-80-00</v>
      </c>
      <c r="N133" s="27" t="str">
        <f t="shared" si="11"/>
        <v>FONDOS ANTICIPADOS</v>
      </c>
      <c r="O133" s="4">
        <f t="shared" si="14"/>
        <v>5</v>
      </c>
      <c r="P133" s="16" t="s">
        <v>166</v>
      </c>
      <c r="Q133" s="4" t="str">
        <f t="shared" ref="Q133:Q196" si="16">CONCATENATE(TEXT(A133,"0"),"-",TEXT(C133,"0"),"-",TEXT(E133,"0"),"-",TEXT(LEFT(G133,2),"00"),"-",TEXT(RIGHT(G133,1),"0"),TEXT(I133,"0"),"-",TEXT(K133,"00"),"-",TEXT(O133,"000"))</f>
        <v>1-1-2-12-80-00-005</v>
      </c>
      <c r="R133" s="4" t="str">
        <f t="shared" si="15"/>
        <v>ANTICIPOS A CONTRATISTAS 2010</v>
      </c>
    </row>
    <row r="134" spans="1:18" x14ac:dyDescent="0.2">
      <c r="A134" s="1">
        <v>1</v>
      </c>
      <c r="B134" s="6" t="str">
        <f>VLOOKUP(A134,'ACTIVOS CODIGO'!A:B,2,0)</f>
        <v>ACTIVO</v>
      </c>
      <c r="C134" s="2">
        <v>1</v>
      </c>
      <c r="D134" s="7" t="str">
        <f>VLOOKUP(C134,'ACTIVOS CODIGO'!C:D,2,0)</f>
        <v>ACTIVO DEL TESORO = ACTIVO CORRIENTE</v>
      </c>
      <c r="E134" s="3">
        <v>2</v>
      </c>
      <c r="F134" s="8" t="str">
        <f>VLOOKUP(E134,'ACTIVOS CODIGO'!E:F,2,0)</f>
        <v>ACTIVO EXIGIBLE</v>
      </c>
      <c r="G134" s="10">
        <v>128</v>
      </c>
      <c r="H134" s="10" t="str">
        <f>VLOOKUP(G134,'PUB 21'!$A$1:$B$29,2,0)</f>
        <v>FONDOS ANTICIPADOS</v>
      </c>
      <c r="I134" s="17"/>
      <c r="J134" s="15"/>
      <c r="K134" s="13"/>
      <c r="L134" s="14"/>
      <c r="M134" s="27" t="str">
        <f t="shared" ref="M134:M196" si="17">CONCATENATE(TEXT(A134,"0"),"-",TEXT(C134,"0"),"-",TEXT(E134,"0"),"-",TEXT(LEFT(G134,2),"00"),"-",TEXT(RIGHT(G134,1),"0"),TEXT(I134,"0"),"-",TEXT(K134,"00"))</f>
        <v>1-1-2-12-80-00</v>
      </c>
      <c r="N134" s="27" t="str">
        <f t="shared" ref="N134:N196" si="18">IF(L134="",IF(J134="",IF(H134="",IF(F134="",IF(D134="",B134,D134),F134),H134),J134),L134)</f>
        <v>FONDOS ANTICIPADOS</v>
      </c>
      <c r="O134" s="4">
        <f t="shared" si="14"/>
        <v>6</v>
      </c>
      <c r="P134" s="16" t="s">
        <v>167</v>
      </c>
      <c r="Q134" s="4" t="str">
        <f t="shared" si="16"/>
        <v>1-1-2-12-80-00-006</v>
      </c>
      <c r="R134" s="4" t="str">
        <f t="shared" si="15"/>
        <v>ANTICIPOS A CONTRATISTAS 2011</v>
      </c>
    </row>
    <row r="135" spans="1:18" x14ac:dyDescent="0.2">
      <c r="A135" s="1">
        <v>1</v>
      </c>
      <c r="B135" s="6" t="str">
        <f>VLOOKUP(A135,'ACTIVOS CODIGO'!A:B,2,0)</f>
        <v>ACTIVO</v>
      </c>
      <c r="C135" s="2">
        <v>1</v>
      </c>
      <c r="D135" s="7" t="str">
        <f>VLOOKUP(C135,'ACTIVOS CODIGO'!C:D,2,0)</f>
        <v>ACTIVO DEL TESORO = ACTIVO CORRIENTE</v>
      </c>
      <c r="E135" s="3">
        <v>2</v>
      </c>
      <c r="F135" s="8" t="str">
        <f>VLOOKUP(E135,'ACTIVOS CODIGO'!E:F,2,0)</f>
        <v>ACTIVO EXIGIBLE</v>
      </c>
      <c r="G135" s="10">
        <v>128</v>
      </c>
      <c r="H135" s="10" t="str">
        <f>VLOOKUP(G135,'PUB 21'!$A$1:$B$29,2,0)</f>
        <v>FONDOS ANTICIPADOS</v>
      </c>
      <c r="I135" s="17"/>
      <c r="J135" s="15"/>
      <c r="K135" s="13"/>
      <c r="L135" s="14"/>
      <c r="M135" s="27" t="str">
        <f t="shared" si="17"/>
        <v>1-1-2-12-80-00</v>
      </c>
      <c r="N135" s="27" t="str">
        <f t="shared" si="18"/>
        <v>FONDOS ANTICIPADOS</v>
      </c>
      <c r="O135" s="4">
        <f t="shared" si="14"/>
        <v>7</v>
      </c>
      <c r="P135" s="16" t="s">
        <v>151</v>
      </c>
      <c r="Q135" s="4" t="str">
        <f t="shared" si="16"/>
        <v>1-1-2-12-80-00-007</v>
      </c>
      <c r="R135" s="4" t="str">
        <f t="shared" si="15"/>
        <v>ANTICIPOS A CONTRATISTAS 2015</v>
      </c>
    </row>
    <row r="136" spans="1:18" x14ac:dyDescent="0.2">
      <c r="A136" s="1">
        <v>1</v>
      </c>
      <c r="B136" s="6" t="str">
        <f>VLOOKUP(A136,'ACTIVOS CODIGO'!A:B,2,0)</f>
        <v>ACTIVO</v>
      </c>
      <c r="C136" s="2">
        <v>1</v>
      </c>
      <c r="D136" s="7" t="str">
        <f>VLOOKUP(C136,'ACTIVOS CODIGO'!C:D,2,0)</f>
        <v>ACTIVO DEL TESORO = ACTIVO CORRIENTE</v>
      </c>
      <c r="E136" s="3">
        <v>2</v>
      </c>
      <c r="F136" s="8" t="str">
        <f>VLOOKUP(E136,'ACTIVOS CODIGO'!E:F,2,0)</f>
        <v>ACTIVO EXIGIBLE</v>
      </c>
      <c r="G136" s="10">
        <v>128</v>
      </c>
      <c r="H136" s="10" t="str">
        <f>VLOOKUP(G136,'PUB 21'!$A$1:$B$29,2,0)</f>
        <v>FONDOS ANTICIPADOS</v>
      </c>
      <c r="I136" s="17"/>
      <c r="J136" s="15"/>
      <c r="K136" s="13"/>
      <c r="L136" s="14"/>
      <c r="M136" s="27" t="str">
        <f t="shared" si="17"/>
        <v>1-1-2-12-80-00</v>
      </c>
      <c r="N136" s="27" t="str">
        <f t="shared" si="18"/>
        <v>FONDOS ANTICIPADOS</v>
      </c>
      <c r="O136" s="4">
        <f t="shared" si="14"/>
        <v>8</v>
      </c>
      <c r="P136" s="16" t="s">
        <v>168</v>
      </c>
      <c r="Q136" s="4" t="str">
        <f t="shared" si="16"/>
        <v>1-1-2-12-80-00-008</v>
      </c>
      <c r="R136" s="4" t="str">
        <f t="shared" si="15"/>
        <v>ANTICIPOS A CONTRATISTAS 2014</v>
      </c>
    </row>
    <row r="137" spans="1:18" x14ac:dyDescent="0.2">
      <c r="A137" s="1">
        <v>1</v>
      </c>
      <c r="B137" s="6" t="str">
        <f>VLOOKUP(A137,'ACTIVOS CODIGO'!A:B,2,0)</f>
        <v>ACTIVO</v>
      </c>
      <c r="C137" s="2">
        <v>1</v>
      </c>
      <c r="D137" s="7" t="str">
        <f>VLOOKUP(C137,'ACTIVOS CODIGO'!C:D,2,0)</f>
        <v>ACTIVO DEL TESORO = ACTIVO CORRIENTE</v>
      </c>
      <c r="E137" s="3">
        <v>2</v>
      </c>
      <c r="F137" s="8" t="str">
        <f>VLOOKUP(E137,'ACTIVOS CODIGO'!E:F,2,0)</f>
        <v>ACTIVO EXIGIBLE</v>
      </c>
      <c r="G137" s="10">
        <v>128</v>
      </c>
      <c r="H137" s="10" t="str">
        <f>VLOOKUP(G137,'PUB 21'!$A$1:$B$29,2,0)</f>
        <v>FONDOS ANTICIPADOS</v>
      </c>
      <c r="I137" s="17"/>
      <c r="J137" s="15"/>
      <c r="K137" s="13"/>
      <c r="L137" s="14"/>
      <c r="M137" s="27" t="str">
        <f t="shared" si="17"/>
        <v>1-1-2-12-80-00</v>
      </c>
      <c r="N137" s="27" t="str">
        <f t="shared" si="18"/>
        <v>FONDOS ANTICIPADOS</v>
      </c>
      <c r="O137" s="4">
        <f t="shared" si="14"/>
        <v>9</v>
      </c>
      <c r="P137" s="16" t="s">
        <v>152</v>
      </c>
      <c r="Q137" s="4" t="str">
        <f t="shared" si="16"/>
        <v>1-1-2-12-80-00-009</v>
      </c>
      <c r="R137" s="4" t="str">
        <f t="shared" si="15"/>
        <v>ANTICIPOS A CONTRATISTAS 2016</v>
      </c>
    </row>
    <row r="138" spans="1:18" x14ac:dyDescent="0.2">
      <c r="A138" s="1">
        <v>1</v>
      </c>
      <c r="B138" s="6" t="str">
        <f>VLOOKUP(A138,'ACTIVOS CODIGO'!A:B,2,0)</f>
        <v>ACTIVO</v>
      </c>
      <c r="C138" s="2">
        <v>1</v>
      </c>
      <c r="D138" s="7" t="str">
        <f>VLOOKUP(C138,'ACTIVOS CODIGO'!C:D,2,0)</f>
        <v>ACTIVO DEL TESORO = ACTIVO CORRIENTE</v>
      </c>
      <c r="E138" s="3">
        <v>2</v>
      </c>
      <c r="F138" s="8" t="str">
        <f>VLOOKUP(E138,'ACTIVOS CODIGO'!E:F,2,0)</f>
        <v>ACTIVO EXIGIBLE</v>
      </c>
      <c r="G138" s="10">
        <v>128</v>
      </c>
      <c r="H138" s="10" t="str">
        <f>VLOOKUP(G138,'PUB 21'!$A$1:$B$29,2,0)</f>
        <v>FONDOS ANTICIPADOS</v>
      </c>
      <c r="I138" s="17"/>
      <c r="J138" s="15"/>
      <c r="K138" s="13"/>
      <c r="L138" s="14"/>
      <c r="M138" s="27" t="str">
        <f t="shared" si="17"/>
        <v>1-1-2-12-80-00</v>
      </c>
      <c r="N138" s="27" t="str">
        <f t="shared" si="18"/>
        <v>FONDOS ANTICIPADOS</v>
      </c>
      <c r="O138" s="4">
        <f t="shared" si="14"/>
        <v>10</v>
      </c>
      <c r="P138" s="16" t="s">
        <v>169</v>
      </c>
      <c r="Q138" s="4" t="str">
        <f t="shared" si="16"/>
        <v>1-1-2-12-80-00-010</v>
      </c>
      <c r="R138" s="4" t="str">
        <f t="shared" si="15"/>
        <v>ANTICIPOS A CONTRATISTAS 2018</v>
      </c>
    </row>
    <row r="139" spans="1:18" x14ac:dyDescent="0.2">
      <c r="A139" s="1">
        <v>1</v>
      </c>
      <c r="B139" s="6" t="str">
        <f>VLOOKUP(A139,'ACTIVOS CODIGO'!A:B,2,0)</f>
        <v>ACTIVO</v>
      </c>
      <c r="C139" s="2">
        <v>1</v>
      </c>
      <c r="D139" s="7" t="str">
        <f>VLOOKUP(C139,'ACTIVOS CODIGO'!C:D,2,0)</f>
        <v>ACTIVO DEL TESORO = ACTIVO CORRIENTE</v>
      </c>
      <c r="E139" s="3">
        <v>2</v>
      </c>
      <c r="F139" s="8" t="str">
        <f>VLOOKUP(E139,'ACTIVOS CODIGO'!E:F,2,0)</f>
        <v>ACTIVO EXIGIBLE</v>
      </c>
      <c r="G139" s="10">
        <v>128</v>
      </c>
      <c r="H139" s="10" t="str">
        <f>VLOOKUP(G139,'PUB 21'!$A$1:$B$29,2,0)</f>
        <v>FONDOS ANTICIPADOS</v>
      </c>
      <c r="I139" s="17"/>
      <c r="J139" s="15"/>
      <c r="K139" s="13"/>
      <c r="L139" s="14"/>
      <c r="M139" s="27" t="str">
        <f t="shared" si="17"/>
        <v>1-1-2-12-80-00</v>
      </c>
      <c r="N139" s="27" t="str">
        <f t="shared" si="18"/>
        <v>FONDOS ANTICIPADOS</v>
      </c>
      <c r="O139" s="4">
        <f t="shared" si="14"/>
        <v>11</v>
      </c>
      <c r="P139" s="16" t="s">
        <v>153</v>
      </c>
      <c r="Q139" s="4" t="str">
        <f t="shared" si="16"/>
        <v>1-1-2-12-80-00-011</v>
      </c>
      <c r="R139" s="4" t="str">
        <f t="shared" si="15"/>
        <v>ANTICIPOS A CONTRATISTAS 2017</v>
      </c>
    </row>
    <row r="140" spans="1:18" x14ac:dyDescent="0.2">
      <c r="A140" s="1">
        <v>1</v>
      </c>
      <c r="B140" s="6" t="str">
        <f>VLOOKUP(A140,'ACTIVOS CODIGO'!A:B,2,0)</f>
        <v>ACTIVO</v>
      </c>
      <c r="C140" s="2">
        <v>1</v>
      </c>
      <c r="D140" s="7" t="str">
        <f>VLOOKUP(C140,'ACTIVOS CODIGO'!C:D,2,0)</f>
        <v>ACTIVO DEL TESORO = ACTIVO CORRIENTE</v>
      </c>
      <c r="E140" s="3">
        <v>2</v>
      </c>
      <c r="F140" s="8" t="str">
        <f>VLOOKUP(E140,'ACTIVOS CODIGO'!E:F,2,0)</f>
        <v>ACTIVO EXIGIBLE</v>
      </c>
      <c r="G140" s="10">
        <v>130</v>
      </c>
      <c r="H140" s="10" t="str">
        <f>VLOOKUP(G140,'PUB 21'!$A$1:$B$29,2,0)</f>
        <v>FONDOS ESPECIALES</v>
      </c>
      <c r="I140" s="17"/>
      <c r="J140" s="15"/>
      <c r="K140" s="13"/>
      <c r="L140" s="14"/>
      <c r="M140" s="27" t="str">
        <f t="shared" ref="M140" si="19">CONCATENATE(TEXT(A140,"0"),"-",TEXT(C140,"0"),"-",TEXT(E140,"0"),"-",TEXT(LEFT(G140,2),"00"),"-",TEXT(RIGHT(G140,1),"0"),TEXT(I140,"0"),"-",TEXT(K140,"00"))</f>
        <v>1-1-2-13-00-00</v>
      </c>
      <c r="N140" s="27" t="str">
        <f t="shared" ref="N140" si="20">IF(L140="",IF(J140="",IF(H140="",IF(F140="",IF(D140="",B140,D140),F140),H140),J140),L140)</f>
        <v>FONDOS ESPECIALES</v>
      </c>
      <c r="O140" s="4">
        <f t="shared" si="14"/>
        <v>0</v>
      </c>
      <c r="P140" s="16"/>
      <c r="Q140" s="4" t="str">
        <f t="shared" si="16"/>
        <v>1-1-2-13-00-00-000</v>
      </c>
      <c r="R140" s="4" t="str">
        <f t="shared" si="15"/>
        <v>FONDOS ESPECIALES</v>
      </c>
    </row>
    <row r="141" spans="1:18" x14ac:dyDescent="0.2">
      <c r="A141" s="1">
        <v>1</v>
      </c>
      <c r="B141" s="6" t="str">
        <f>VLOOKUP(A141,'ACTIVOS CODIGO'!A:B,2,0)</f>
        <v>ACTIVO</v>
      </c>
      <c r="C141" s="2">
        <v>1</v>
      </c>
      <c r="D141" s="7" t="str">
        <f>VLOOKUP(C141,'ACTIVOS CODIGO'!C:D,2,0)</f>
        <v>ACTIVO DEL TESORO = ACTIVO CORRIENTE</v>
      </c>
      <c r="E141" s="3">
        <v>2</v>
      </c>
      <c r="F141" s="8" t="str">
        <f>VLOOKUP(E141,'ACTIVOS CODIGO'!E:F,2,0)</f>
        <v>ACTIVO EXIGIBLE</v>
      </c>
      <c r="G141" s="10">
        <v>132</v>
      </c>
      <c r="H141" s="10" t="str">
        <f>VLOOKUP(G141,'PUB 21'!$A$1:$B$29,2,0)</f>
        <v>FONDOS DE TERCEROS</v>
      </c>
      <c r="I141" s="17"/>
      <c r="J141" s="15"/>
      <c r="K141" s="13"/>
      <c r="L141" s="14"/>
      <c r="M141" s="27" t="str">
        <f t="shared" si="17"/>
        <v>1-1-2-13-20-00</v>
      </c>
      <c r="N141" s="27" t="str">
        <f t="shared" si="18"/>
        <v>FONDOS DE TERCEROS</v>
      </c>
      <c r="O141" s="4">
        <f t="shared" si="14"/>
        <v>0</v>
      </c>
      <c r="P141" s="16"/>
      <c r="Q141" s="4" t="str">
        <f t="shared" si="16"/>
        <v>1-1-2-13-20-00-000</v>
      </c>
      <c r="R141" s="4" t="str">
        <f t="shared" si="15"/>
        <v>FONDOS DE TERCEROS</v>
      </c>
    </row>
    <row r="142" spans="1:18" x14ac:dyDescent="0.2">
      <c r="A142" s="1">
        <v>1</v>
      </c>
      <c r="B142" s="6" t="str">
        <f>VLOOKUP(A142,'ACTIVOS CODIGO'!A:B,2,0)</f>
        <v>ACTIVO</v>
      </c>
      <c r="C142" s="2">
        <v>1</v>
      </c>
      <c r="D142" s="7" t="str">
        <f>VLOOKUP(C142,'ACTIVOS CODIGO'!C:D,2,0)</f>
        <v>ACTIVO DEL TESORO = ACTIVO CORRIENTE</v>
      </c>
      <c r="E142" s="3">
        <v>2</v>
      </c>
      <c r="F142" s="8" t="str">
        <f>VLOOKUP(E142,'ACTIVOS CODIGO'!E:F,2,0)</f>
        <v>ACTIVO EXIGIBLE</v>
      </c>
      <c r="G142" s="10">
        <v>132</v>
      </c>
      <c r="H142" s="10" t="str">
        <f>VLOOKUP(G142,'PUB 21'!$A$1:$B$29,2,0)</f>
        <v>FONDOS DE TERCEROS</v>
      </c>
      <c r="I142" s="17"/>
      <c r="J142" s="15"/>
      <c r="K142" s="13"/>
      <c r="L142" s="14"/>
      <c r="M142" s="27" t="str">
        <f t="shared" si="17"/>
        <v>1-1-2-13-20-00</v>
      </c>
      <c r="N142" s="27" t="str">
        <f t="shared" si="18"/>
        <v>FONDOS DE TERCEROS</v>
      </c>
      <c r="O142" s="4">
        <f t="shared" si="14"/>
        <v>1</v>
      </c>
      <c r="P142" s="16" t="s">
        <v>154</v>
      </c>
      <c r="Q142" s="4" t="str">
        <f t="shared" si="16"/>
        <v>1-1-2-13-20-00-001</v>
      </c>
      <c r="R142" s="4" t="str">
        <f t="shared" si="15"/>
        <v>F.T.BANCO DE VENEZUELA 2020</v>
      </c>
    </row>
    <row r="143" spans="1:18" x14ac:dyDescent="0.2">
      <c r="A143" s="1">
        <v>1</v>
      </c>
      <c r="B143" s="6" t="str">
        <f>VLOOKUP(A143,'ACTIVOS CODIGO'!A:B,2,0)</f>
        <v>ACTIVO</v>
      </c>
      <c r="C143" s="2">
        <v>1</v>
      </c>
      <c r="D143" s="7" t="str">
        <f>VLOOKUP(C143,'ACTIVOS CODIGO'!C:D,2,0)</f>
        <v>ACTIVO DEL TESORO = ACTIVO CORRIENTE</v>
      </c>
      <c r="E143" s="3">
        <v>2</v>
      </c>
      <c r="F143" s="8" t="str">
        <f>VLOOKUP(E143,'ACTIVOS CODIGO'!E:F,2,0)</f>
        <v>ACTIVO EXIGIBLE</v>
      </c>
      <c r="G143" s="10">
        <v>132</v>
      </c>
      <c r="H143" s="10" t="str">
        <f>VLOOKUP(G143,'PUB 21'!$A$1:$B$29,2,0)</f>
        <v>FONDOS DE TERCEROS</v>
      </c>
      <c r="I143" s="17"/>
      <c r="J143" s="15"/>
      <c r="K143" s="13"/>
      <c r="L143" s="14"/>
      <c r="M143" s="27" t="str">
        <f t="shared" si="17"/>
        <v>1-1-2-13-20-00</v>
      </c>
      <c r="N143" s="27" t="str">
        <f t="shared" si="18"/>
        <v>FONDOS DE TERCEROS</v>
      </c>
      <c r="O143" s="4">
        <f t="shared" si="14"/>
        <v>2</v>
      </c>
      <c r="P143" s="16" t="s">
        <v>155</v>
      </c>
      <c r="Q143" s="4" t="str">
        <f t="shared" si="16"/>
        <v>1-1-2-13-20-00-002</v>
      </c>
      <c r="R143" s="4" t="str">
        <f t="shared" si="15"/>
        <v>F.T. BANCO BICENTENARIO 2020</v>
      </c>
    </row>
    <row r="144" spans="1:18" x14ac:dyDescent="0.2">
      <c r="A144" s="1">
        <v>1</v>
      </c>
      <c r="B144" s="6" t="str">
        <f>VLOOKUP(A144,'ACTIVOS CODIGO'!A:B,2,0)</f>
        <v>ACTIVO</v>
      </c>
      <c r="C144" s="2">
        <v>1</v>
      </c>
      <c r="D144" s="7" t="str">
        <f>VLOOKUP(C144,'ACTIVOS CODIGO'!C:D,2,0)</f>
        <v>ACTIVO DEL TESORO = ACTIVO CORRIENTE</v>
      </c>
      <c r="E144" s="3">
        <v>2</v>
      </c>
      <c r="F144" s="8" t="str">
        <f>VLOOKUP(E144,'ACTIVOS CODIGO'!E:F,2,0)</f>
        <v>ACTIVO EXIGIBLE</v>
      </c>
      <c r="G144" s="10">
        <v>132</v>
      </c>
      <c r="H144" s="10" t="str">
        <f>VLOOKUP(G144,'PUB 21'!$A$1:$B$29,2,0)</f>
        <v>FONDOS DE TERCEROS</v>
      </c>
      <c r="I144" s="17"/>
      <c r="J144" s="15"/>
      <c r="K144" s="13"/>
      <c r="L144" s="14"/>
      <c r="M144" s="27" t="str">
        <f t="shared" si="17"/>
        <v>1-1-2-13-20-00</v>
      </c>
      <c r="N144" s="27" t="str">
        <f t="shared" si="18"/>
        <v>FONDOS DE TERCEROS</v>
      </c>
      <c r="O144" s="4">
        <f t="shared" si="14"/>
        <v>3</v>
      </c>
      <c r="P144" s="16" t="s">
        <v>156</v>
      </c>
      <c r="Q144" s="4" t="str">
        <f t="shared" si="16"/>
        <v>1-1-2-13-20-00-003</v>
      </c>
      <c r="R144" s="4" t="str">
        <f t="shared" si="15"/>
        <v>F.T.BANCO DE VENEZUELA 2021</v>
      </c>
    </row>
    <row r="145" spans="1:18" x14ac:dyDescent="0.2">
      <c r="A145" s="1">
        <v>1</v>
      </c>
      <c r="B145" s="6" t="str">
        <f>VLOOKUP(A145,'ACTIVOS CODIGO'!A:B,2,0)</f>
        <v>ACTIVO</v>
      </c>
      <c r="C145" s="2">
        <v>1</v>
      </c>
      <c r="D145" s="7" t="str">
        <f>VLOOKUP(C145,'ACTIVOS CODIGO'!C:D,2,0)</f>
        <v>ACTIVO DEL TESORO = ACTIVO CORRIENTE</v>
      </c>
      <c r="E145" s="3">
        <v>2</v>
      </c>
      <c r="F145" s="8" t="str">
        <f>VLOOKUP(E145,'ACTIVOS CODIGO'!E:F,2,0)</f>
        <v>ACTIVO EXIGIBLE</v>
      </c>
      <c r="G145" s="10">
        <v>132</v>
      </c>
      <c r="H145" s="10" t="str">
        <f>VLOOKUP(G145,'PUB 21'!$A$1:$B$29,2,0)</f>
        <v>FONDOS DE TERCEROS</v>
      </c>
      <c r="I145" s="17"/>
      <c r="J145" s="15"/>
      <c r="K145" s="13"/>
      <c r="L145" s="14"/>
      <c r="M145" s="27" t="str">
        <f t="shared" si="17"/>
        <v>1-1-2-13-20-00</v>
      </c>
      <c r="N145" s="27" t="str">
        <f t="shared" si="18"/>
        <v>FONDOS DE TERCEROS</v>
      </c>
      <c r="O145" s="4">
        <f t="shared" si="14"/>
        <v>4</v>
      </c>
      <c r="P145" s="16" t="s">
        <v>157</v>
      </c>
      <c r="Q145" s="4" t="str">
        <f t="shared" si="16"/>
        <v>1-1-2-13-20-00-004</v>
      </c>
      <c r="R145" s="4" t="str">
        <f t="shared" si="15"/>
        <v>F.T. BANCO BICENTENARIO 2021</v>
      </c>
    </row>
    <row r="146" spans="1:18" ht="23.25" x14ac:dyDescent="0.2">
      <c r="A146" s="1">
        <v>1</v>
      </c>
      <c r="B146" s="6" t="str">
        <f>VLOOKUP(A146,'ACTIVOS CODIGO'!A:B,2,0)</f>
        <v>ACTIVO</v>
      </c>
      <c r="C146" s="2">
        <v>2</v>
      </c>
      <c r="D146" s="7" t="str">
        <f>VLOOKUP(C146,'ACTIVOS CODIGO'!C:D,2,0)</f>
        <v>ACTIVO DE LA HACIENDA = ACTIVO NO CORRIENTE</v>
      </c>
      <c r="E146" s="3"/>
      <c r="F146" s="8"/>
      <c r="G146" s="19">
        <v>0</v>
      </c>
      <c r="H146" s="10"/>
      <c r="I146" s="17"/>
      <c r="J146" s="15"/>
      <c r="K146" s="13"/>
      <c r="L146" s="14"/>
      <c r="M146" s="27" t="str">
        <f t="shared" si="17"/>
        <v>1-2-0-00-00-00</v>
      </c>
      <c r="N146" s="27" t="str">
        <f t="shared" si="18"/>
        <v>ACTIVO DE LA HACIENDA = ACTIVO NO CORRIENTE</v>
      </c>
      <c r="O146" s="4">
        <f t="shared" si="14"/>
        <v>0</v>
      </c>
      <c r="P146" s="16"/>
      <c r="Q146" s="4" t="str">
        <f t="shared" si="16"/>
        <v>1-2-0-00-00-00-000</v>
      </c>
      <c r="R146" s="4" t="str">
        <f t="shared" si="15"/>
        <v>ACTIVO DE LA HACIENDA = ACTIVO NO CORRIENTE</v>
      </c>
    </row>
    <row r="147" spans="1:18" ht="23.25" x14ac:dyDescent="0.2">
      <c r="A147" s="1">
        <v>1</v>
      </c>
      <c r="B147" s="6" t="str">
        <f>VLOOKUP(A147,'ACTIVOS CODIGO'!A:B,2,0)</f>
        <v>ACTIVO</v>
      </c>
      <c r="C147" s="2">
        <v>2</v>
      </c>
      <c r="D147" s="7" t="str">
        <f>VLOOKUP(C147,'ACTIVOS CODIGO'!C:D,2,0)</f>
        <v>ACTIVO DE LA HACIENDA = ACTIVO NO CORRIENTE</v>
      </c>
      <c r="E147" s="3">
        <v>1</v>
      </c>
      <c r="F147" s="8" t="str">
        <f>VLOOKUP(E147,'ACTIVOS CODIGO'!E:F,2,0)</f>
        <v>ACTIVO DISPONIBLE</v>
      </c>
      <c r="G147" s="19">
        <v>0</v>
      </c>
      <c r="H147" s="10"/>
      <c r="M147" s="27" t="str">
        <f t="shared" si="17"/>
        <v>1-2-1-00-00-00</v>
      </c>
      <c r="N147" s="27" t="str">
        <f t="shared" si="18"/>
        <v>ACTIVO DISPONIBLE</v>
      </c>
      <c r="O147" s="4">
        <f t="shared" si="14"/>
        <v>0</v>
      </c>
      <c r="Q147" s="4" t="str">
        <f t="shared" si="16"/>
        <v>1-2-1-00-00-00-000</v>
      </c>
      <c r="R147" s="4" t="str">
        <f t="shared" si="15"/>
        <v>ACTIVO DISPONIBLE</v>
      </c>
    </row>
    <row r="148" spans="1:18" ht="23.25" x14ac:dyDescent="0.2">
      <c r="A148" s="1">
        <v>1</v>
      </c>
      <c r="B148" s="6" t="str">
        <f>VLOOKUP(A148,'ACTIVOS CODIGO'!A:B,2,0)</f>
        <v>ACTIVO</v>
      </c>
      <c r="C148" s="2">
        <v>2</v>
      </c>
      <c r="D148" s="7" t="str">
        <f>VLOOKUP(C148,'ACTIVOS CODIGO'!C:D,2,0)</f>
        <v>ACTIVO DE LA HACIENDA = ACTIVO NO CORRIENTE</v>
      </c>
      <c r="E148" s="3">
        <v>1</v>
      </c>
      <c r="F148" s="8" t="str">
        <f>VLOOKUP(E148,'ACTIVOS CODIGO'!E:F,2,0)</f>
        <v>ACTIVO DISPONIBLE</v>
      </c>
      <c r="G148" s="10">
        <v>200</v>
      </c>
      <c r="H148" s="10" t="str">
        <f>VLOOKUP(G148,'PUB 21'!$A$1:$B$29,2,0)</f>
        <v>SITUACION FISCAL DEL TESORO</v>
      </c>
      <c r="M148" s="27" t="str">
        <f t="shared" si="17"/>
        <v>1-2-1-20-00-00</v>
      </c>
      <c r="N148" s="27" t="str">
        <f t="shared" si="18"/>
        <v>SITUACION FISCAL DEL TESORO</v>
      </c>
      <c r="O148" s="4">
        <f t="shared" si="14"/>
        <v>0</v>
      </c>
      <c r="Q148" s="4" t="str">
        <f t="shared" si="16"/>
        <v>1-2-1-20-00-00-000</v>
      </c>
      <c r="R148" s="4" t="str">
        <f t="shared" si="15"/>
        <v>SITUACION FISCAL DEL TESORO</v>
      </c>
    </row>
    <row r="149" spans="1:18" ht="23.25" x14ac:dyDescent="0.2">
      <c r="A149" s="1">
        <v>1</v>
      </c>
      <c r="B149" s="6" t="str">
        <f>VLOOKUP(A149,'ACTIVOS CODIGO'!A:B,2,0)</f>
        <v>ACTIVO</v>
      </c>
      <c r="C149" s="2">
        <v>2</v>
      </c>
      <c r="D149" s="7" t="str">
        <f>VLOOKUP(C149,'ACTIVOS CODIGO'!C:D,2,0)</f>
        <v>ACTIVO DE LA HACIENDA = ACTIVO NO CORRIENTE</v>
      </c>
      <c r="E149" s="3">
        <v>1</v>
      </c>
      <c r="F149" s="8" t="str">
        <f>VLOOKUP(E149,'ACTIVOS CODIGO'!E:F,2,0)</f>
        <v>ACTIVO DISPONIBLE</v>
      </c>
      <c r="G149" s="10">
        <v>210</v>
      </c>
      <c r="H149" s="10" t="str">
        <f>VLOOKUP(G149,'PUB 21'!$A$1:$B$29,2,0)</f>
        <v>APORTE DE CAPITAL Y ACCIONES</v>
      </c>
      <c r="M149" s="27" t="str">
        <f t="shared" si="17"/>
        <v>1-2-1-21-00-00</v>
      </c>
      <c r="N149" s="27" t="str">
        <f t="shared" si="18"/>
        <v>APORTE DE CAPITAL Y ACCIONES</v>
      </c>
      <c r="O149" s="4">
        <f t="shared" si="14"/>
        <v>0</v>
      </c>
      <c r="Q149" s="4" t="str">
        <f t="shared" si="16"/>
        <v>1-2-1-21-00-00-000</v>
      </c>
      <c r="R149" s="4" t="str">
        <f t="shared" si="15"/>
        <v>APORTE DE CAPITAL Y ACCIONES</v>
      </c>
    </row>
    <row r="150" spans="1:18" ht="23.25" x14ac:dyDescent="0.2">
      <c r="A150" s="1">
        <v>1</v>
      </c>
      <c r="B150" s="6" t="str">
        <f>VLOOKUP(A150,'ACTIVOS CODIGO'!A:B,2,0)</f>
        <v>ACTIVO</v>
      </c>
      <c r="C150" s="2">
        <v>2</v>
      </c>
      <c r="D150" s="7" t="str">
        <f>VLOOKUP(C150,'ACTIVOS CODIGO'!C:D,2,0)</f>
        <v>ACTIVO DE LA HACIENDA = ACTIVO NO CORRIENTE</v>
      </c>
      <c r="E150" s="3">
        <v>1</v>
      </c>
      <c r="F150" s="8" t="str">
        <f>VLOOKUP(E150,'ACTIVOS CODIGO'!E:F,2,0)</f>
        <v>ACTIVO DISPONIBLE</v>
      </c>
      <c r="G150" s="10">
        <v>210</v>
      </c>
      <c r="H150" s="10" t="str">
        <f>VLOOKUP(G150,'PUB 21'!$A$1:$B$29,2,0)</f>
        <v>APORTE DE CAPITAL Y ACCIONES</v>
      </c>
      <c r="K150" s="18">
        <v>1</v>
      </c>
      <c r="L150" s="5" t="s">
        <v>172</v>
      </c>
      <c r="M150" s="27" t="str">
        <f>CONCATENATE(TEXT(A150,"0"),"-",TEXT(C150,"0"),"-",TEXT(E150,"0"),"-",TEXT(LEFT(G150,2),"00"),"-",TEXT(RIGHT(G150,1),"0"),TEXT(I150,"0"),"-",TEXT(K150,"00"))</f>
        <v>1-2-1-21-00-01</v>
      </c>
      <c r="N150" s="27" t="str">
        <f>IF(L150="",IF(J150="",IF(H150="",IF(F150="",IF(D150="",B150,D150),F150),H150),J150),L150)</f>
        <v>ACCIONES</v>
      </c>
      <c r="O150" s="4">
        <f t="shared" si="14"/>
        <v>0</v>
      </c>
      <c r="Q150" s="4" t="str">
        <f>CONCATENATE(TEXT(A150,"0"),"-",TEXT(C150,"0"),"-",TEXT(E150,"0"),"-",TEXT(LEFT(G150,2),"00"),"-",TEXT(RIGHT(G150,1),"0"),TEXT(I150,"0"),"-",TEXT(K150,"00"),"-",TEXT(O150,"000"))</f>
        <v>1-2-1-21-00-01-000</v>
      </c>
      <c r="R150" s="4" t="str">
        <f>IF(P150="",IF(L150="",IF(J150="",IF(H150="",IF(F150="",IF(D150="",B150,D150),F150),H150),J150),L150),P150)</f>
        <v>ACCIONES</v>
      </c>
    </row>
    <row r="151" spans="1:18" ht="23.25" x14ac:dyDescent="0.2">
      <c r="A151" s="1">
        <v>1</v>
      </c>
      <c r="B151" s="6" t="str">
        <f>VLOOKUP(A151,'ACTIVOS CODIGO'!A:B,2,0)</f>
        <v>ACTIVO</v>
      </c>
      <c r="C151" s="2">
        <v>2</v>
      </c>
      <c r="D151" s="7" t="str">
        <f>VLOOKUP(C151,'ACTIVOS CODIGO'!C:D,2,0)</f>
        <v>ACTIVO DE LA HACIENDA = ACTIVO NO CORRIENTE</v>
      </c>
      <c r="E151" s="3">
        <v>1</v>
      </c>
      <c r="F151" s="8" t="str">
        <f>VLOOKUP(E151,'ACTIVOS CODIGO'!E:F,2,0)</f>
        <v>ACTIVO DISPONIBLE</v>
      </c>
      <c r="G151" s="10">
        <v>210</v>
      </c>
      <c r="H151" s="10" t="str">
        <f>VLOOKUP(G151,'PUB 21'!$A$1:$B$29,2,0)</f>
        <v>APORTE DE CAPITAL Y ACCIONES</v>
      </c>
      <c r="K151" s="18">
        <v>1</v>
      </c>
      <c r="L151" s="5" t="s">
        <v>172</v>
      </c>
      <c r="M151" s="27" t="str">
        <f>CONCATENATE(TEXT(A151,"0"),"-",TEXT(C151,"0"),"-",TEXT(E151,"0"),"-",TEXT(LEFT(G151,2),"00"),"-",TEXT(RIGHT(G151,1),"0"),TEXT(I151,"0"),"-",TEXT(K151,"00"))</f>
        <v>1-2-1-21-00-01</v>
      </c>
      <c r="N151" s="27" t="str">
        <f>IF(L151="",IF(J151="",IF(H151="",IF(F151="",IF(D151="",B151,D151),F151),H151),J151),L151)</f>
        <v>ACCIONES</v>
      </c>
      <c r="O151" s="4">
        <f t="shared" si="14"/>
        <v>1</v>
      </c>
      <c r="P151" s="4" t="s">
        <v>173</v>
      </c>
      <c r="Q151" s="4" t="str">
        <f>CONCATENATE(TEXT(A151,"0"),"-",TEXT(C151,"0"),"-",TEXT(E151,"0"),"-",TEXT(LEFT(G151,2),"00"),"-",TEXT(RIGHT(G151,1),"0"),TEXT(I151,"0"),"-",TEXT(K151,"00"),"-",TEXT(O151,"000"))</f>
        <v>1-2-1-21-00-01-001</v>
      </c>
      <c r="R151" s="4" t="str">
        <f>IF(P151="",IF(L151="",IF(J151="",IF(H151="",IF(F151="",IF(D151="",B151,D151),F151),H151),J151),L151),P151)</f>
        <v>ACCIONES Y ACCIONES INMERCA</v>
      </c>
    </row>
    <row r="152" spans="1:18" ht="23.25" x14ac:dyDescent="0.2">
      <c r="A152" s="1">
        <v>1</v>
      </c>
      <c r="B152" s="6" t="str">
        <f>VLOOKUP(A152,'ACTIVOS CODIGO'!A:B,2,0)</f>
        <v>ACTIVO</v>
      </c>
      <c r="C152" s="2">
        <v>2</v>
      </c>
      <c r="D152" s="7" t="str">
        <f>VLOOKUP(C152,'ACTIVOS CODIGO'!C:D,2,0)</f>
        <v>ACTIVO DE LA HACIENDA = ACTIVO NO CORRIENTE</v>
      </c>
      <c r="E152" s="3">
        <v>2</v>
      </c>
      <c r="F152" s="8" t="str">
        <f>VLOOKUP(E152,'ACTIVOS CODIGO'!E:F,2,0)</f>
        <v>ACTIVO EXIGIBLE</v>
      </c>
      <c r="G152" s="10">
        <v>212</v>
      </c>
      <c r="H152" s="10" t="str">
        <f>VLOOKUP(G152,'PUB 21'!$A$1:$B$29,2,0)</f>
        <v>BIENES INMUEBLES</v>
      </c>
      <c r="M152" s="27" t="str">
        <f t="shared" si="17"/>
        <v>1-2-2-21-20-00</v>
      </c>
      <c r="N152" s="27" t="str">
        <f t="shared" si="18"/>
        <v>BIENES INMUEBLES</v>
      </c>
      <c r="O152" s="4">
        <f t="shared" si="14"/>
        <v>0</v>
      </c>
      <c r="Q152" s="4" t="str">
        <f t="shared" si="16"/>
        <v>1-2-2-21-20-00-000</v>
      </c>
      <c r="R152" s="4" t="str">
        <f t="shared" si="15"/>
        <v>BIENES INMUEBLES</v>
      </c>
    </row>
    <row r="153" spans="1:18" ht="23.25" x14ac:dyDescent="0.2">
      <c r="A153" s="1">
        <v>1</v>
      </c>
      <c r="B153" s="6" t="str">
        <f>VLOOKUP(A153,'ACTIVOS CODIGO'!A:B,2,0)</f>
        <v>ACTIVO</v>
      </c>
      <c r="C153" s="2">
        <v>2</v>
      </c>
      <c r="D153" s="7" t="str">
        <f>VLOOKUP(C153,'ACTIVOS CODIGO'!C:D,2,0)</f>
        <v>ACTIVO DE LA HACIENDA = ACTIVO NO CORRIENTE</v>
      </c>
      <c r="E153" s="3">
        <v>2</v>
      </c>
      <c r="F153" s="8" t="str">
        <f>VLOOKUP(E153,'ACTIVOS CODIGO'!E:F,2,0)</f>
        <v>ACTIVO EXIGIBLE</v>
      </c>
      <c r="G153" s="10">
        <v>212</v>
      </c>
      <c r="H153" s="10" t="str">
        <f>VLOOKUP(G153,'PUB 21'!$A$1:$B$29,2,0)</f>
        <v>BIENES INMUEBLES</v>
      </c>
      <c r="M153" s="27" t="str">
        <f t="shared" si="17"/>
        <v>1-2-2-21-20-00</v>
      </c>
      <c r="N153" s="27" t="str">
        <f t="shared" si="18"/>
        <v>BIENES INMUEBLES</v>
      </c>
      <c r="O153" s="4">
        <f t="shared" si="14"/>
        <v>1</v>
      </c>
      <c r="P153" s="4" t="s">
        <v>174</v>
      </c>
      <c r="Q153" s="4" t="str">
        <f t="shared" si="16"/>
        <v>1-2-2-21-20-00-001</v>
      </c>
      <c r="R153" s="4" t="str">
        <f t="shared" si="15"/>
        <v>PARROQUIA ALTAGRACIA</v>
      </c>
    </row>
    <row r="154" spans="1:18" ht="23.25" x14ac:dyDescent="0.2">
      <c r="A154" s="1">
        <v>1</v>
      </c>
      <c r="B154" s="6" t="str">
        <f>VLOOKUP(A154,'ACTIVOS CODIGO'!A:B,2,0)</f>
        <v>ACTIVO</v>
      </c>
      <c r="C154" s="2">
        <v>2</v>
      </c>
      <c r="D154" s="7" t="str">
        <f>VLOOKUP(C154,'ACTIVOS CODIGO'!C:D,2,0)</f>
        <v>ACTIVO DE LA HACIENDA = ACTIVO NO CORRIENTE</v>
      </c>
      <c r="E154" s="3">
        <v>2</v>
      </c>
      <c r="F154" s="8" t="str">
        <f>VLOOKUP(E154,'ACTIVOS CODIGO'!E:F,2,0)</f>
        <v>ACTIVO EXIGIBLE</v>
      </c>
      <c r="G154" s="10">
        <v>212</v>
      </c>
      <c r="H154" s="10" t="str">
        <f>VLOOKUP(G154,'PUB 21'!$A$1:$B$29,2,0)</f>
        <v>BIENES INMUEBLES</v>
      </c>
      <c r="M154" s="27" t="str">
        <f t="shared" si="17"/>
        <v>1-2-2-21-20-00</v>
      </c>
      <c r="N154" s="27" t="str">
        <f t="shared" si="18"/>
        <v>BIENES INMUEBLES</v>
      </c>
      <c r="O154" s="4">
        <f t="shared" si="14"/>
        <v>2</v>
      </c>
      <c r="P154" s="4" t="s">
        <v>175</v>
      </c>
      <c r="Q154" s="4" t="str">
        <f t="shared" si="16"/>
        <v>1-2-2-21-20-00-002</v>
      </c>
      <c r="R154" s="4" t="str">
        <f t="shared" si="15"/>
        <v>PARROQUIA ANTIMANO</v>
      </c>
    </row>
    <row r="155" spans="1:18" ht="23.25" x14ac:dyDescent="0.2">
      <c r="A155" s="1">
        <v>1</v>
      </c>
      <c r="B155" s="6" t="str">
        <f>VLOOKUP(A155,'ACTIVOS CODIGO'!A:B,2,0)</f>
        <v>ACTIVO</v>
      </c>
      <c r="C155" s="2">
        <v>2</v>
      </c>
      <c r="D155" s="7" t="str">
        <f>VLOOKUP(C155,'ACTIVOS CODIGO'!C:D,2,0)</f>
        <v>ACTIVO DE LA HACIENDA = ACTIVO NO CORRIENTE</v>
      </c>
      <c r="E155" s="3">
        <v>2</v>
      </c>
      <c r="F155" s="8" t="str">
        <f>VLOOKUP(E155,'ACTIVOS CODIGO'!E:F,2,0)</f>
        <v>ACTIVO EXIGIBLE</v>
      </c>
      <c r="G155" s="10">
        <v>212</v>
      </c>
      <c r="H155" s="10" t="str">
        <f>VLOOKUP(G155,'PUB 21'!$A$1:$B$29,2,0)</f>
        <v>BIENES INMUEBLES</v>
      </c>
      <c r="M155" s="27" t="str">
        <f t="shared" si="17"/>
        <v>1-2-2-21-20-00</v>
      </c>
      <c r="N155" s="27" t="str">
        <f t="shared" si="18"/>
        <v>BIENES INMUEBLES</v>
      </c>
      <c r="O155" s="4">
        <f t="shared" si="14"/>
        <v>3</v>
      </c>
      <c r="P155" s="4" t="s">
        <v>176</v>
      </c>
      <c r="Q155" s="4" t="str">
        <f t="shared" si="16"/>
        <v>1-2-2-21-20-00-003</v>
      </c>
      <c r="R155" s="4" t="str">
        <f t="shared" si="15"/>
        <v>PARROQUIA CANDELARIA</v>
      </c>
    </row>
    <row r="156" spans="1:18" ht="23.25" x14ac:dyDescent="0.2">
      <c r="A156" s="1">
        <v>1</v>
      </c>
      <c r="B156" s="6" t="str">
        <f>VLOOKUP(A156,'ACTIVOS CODIGO'!A:B,2,0)</f>
        <v>ACTIVO</v>
      </c>
      <c r="C156" s="2">
        <v>2</v>
      </c>
      <c r="D156" s="7" t="str">
        <f>VLOOKUP(C156,'ACTIVOS CODIGO'!C:D,2,0)</f>
        <v>ACTIVO DE LA HACIENDA = ACTIVO NO CORRIENTE</v>
      </c>
      <c r="E156" s="3">
        <v>2</v>
      </c>
      <c r="F156" s="8" t="str">
        <f>VLOOKUP(E156,'ACTIVOS CODIGO'!E:F,2,0)</f>
        <v>ACTIVO EXIGIBLE</v>
      </c>
      <c r="G156" s="10">
        <v>212</v>
      </c>
      <c r="H156" s="10" t="str">
        <f>VLOOKUP(G156,'PUB 21'!$A$1:$B$29,2,0)</f>
        <v>BIENES INMUEBLES</v>
      </c>
      <c r="M156" s="27" t="str">
        <f t="shared" si="17"/>
        <v>1-2-2-21-20-00</v>
      </c>
      <c r="N156" s="27" t="str">
        <f t="shared" si="18"/>
        <v>BIENES INMUEBLES</v>
      </c>
      <c r="O156" s="4">
        <f t="shared" si="14"/>
        <v>4</v>
      </c>
      <c r="P156" s="4" t="s">
        <v>177</v>
      </c>
      <c r="Q156" s="4" t="str">
        <f t="shared" si="16"/>
        <v>1-2-2-21-20-00-004</v>
      </c>
      <c r="R156" s="4" t="str">
        <f t="shared" si="15"/>
        <v>PARROQUIA CATEDRAL</v>
      </c>
    </row>
    <row r="157" spans="1:18" ht="23.25" x14ac:dyDescent="0.2">
      <c r="A157" s="1">
        <v>1</v>
      </c>
      <c r="B157" s="6" t="str">
        <f>VLOOKUP(A157,'ACTIVOS CODIGO'!A:B,2,0)</f>
        <v>ACTIVO</v>
      </c>
      <c r="C157" s="2">
        <v>2</v>
      </c>
      <c r="D157" s="7" t="str">
        <f>VLOOKUP(C157,'ACTIVOS CODIGO'!C:D,2,0)</f>
        <v>ACTIVO DE LA HACIENDA = ACTIVO NO CORRIENTE</v>
      </c>
      <c r="E157" s="3">
        <v>2</v>
      </c>
      <c r="F157" s="8" t="str">
        <f>VLOOKUP(E157,'ACTIVOS CODIGO'!E:F,2,0)</f>
        <v>ACTIVO EXIGIBLE</v>
      </c>
      <c r="G157" s="10">
        <v>212</v>
      </c>
      <c r="H157" s="10" t="str">
        <f>VLOOKUP(G157,'PUB 21'!$A$1:$B$29,2,0)</f>
        <v>BIENES INMUEBLES</v>
      </c>
      <c r="M157" s="27" t="str">
        <f t="shared" si="17"/>
        <v>1-2-2-21-20-00</v>
      </c>
      <c r="N157" s="27" t="str">
        <f t="shared" si="18"/>
        <v>BIENES INMUEBLES</v>
      </c>
      <c r="O157" s="4">
        <f t="shared" si="14"/>
        <v>5</v>
      </c>
      <c r="P157" s="4" t="s">
        <v>178</v>
      </c>
      <c r="Q157" s="4" t="str">
        <f t="shared" si="16"/>
        <v>1-2-2-21-20-00-005</v>
      </c>
      <c r="R157" s="4" t="str">
        <f t="shared" si="15"/>
        <v>PARROQUIA EL RECREO</v>
      </c>
    </row>
    <row r="158" spans="1:18" ht="23.25" x14ac:dyDescent="0.2">
      <c r="A158" s="1">
        <v>1</v>
      </c>
      <c r="B158" s="6" t="str">
        <f>VLOOKUP(A158,'ACTIVOS CODIGO'!A:B,2,0)</f>
        <v>ACTIVO</v>
      </c>
      <c r="C158" s="2">
        <v>2</v>
      </c>
      <c r="D158" s="7" t="str">
        <f>VLOOKUP(C158,'ACTIVOS CODIGO'!C:D,2,0)</f>
        <v>ACTIVO DE LA HACIENDA = ACTIVO NO CORRIENTE</v>
      </c>
      <c r="E158" s="3">
        <v>2</v>
      </c>
      <c r="F158" s="8" t="str">
        <f>VLOOKUP(E158,'ACTIVOS CODIGO'!E:F,2,0)</f>
        <v>ACTIVO EXIGIBLE</v>
      </c>
      <c r="G158" s="10">
        <v>212</v>
      </c>
      <c r="H158" s="10" t="str">
        <f>VLOOKUP(G158,'PUB 21'!$A$1:$B$29,2,0)</f>
        <v>BIENES INMUEBLES</v>
      </c>
      <c r="M158" s="27" t="str">
        <f t="shared" si="17"/>
        <v>1-2-2-21-20-00</v>
      </c>
      <c r="N158" s="27" t="str">
        <f t="shared" si="18"/>
        <v>BIENES INMUEBLES</v>
      </c>
      <c r="O158" s="4">
        <f t="shared" si="14"/>
        <v>6</v>
      </c>
      <c r="P158" s="4" t="s">
        <v>179</v>
      </c>
      <c r="Q158" s="4" t="str">
        <f t="shared" si="16"/>
        <v>1-2-2-21-20-00-006</v>
      </c>
      <c r="R158" s="4" t="str">
        <f t="shared" si="15"/>
        <v>PARROQUIA EL VALLE</v>
      </c>
    </row>
    <row r="159" spans="1:18" ht="23.25" x14ac:dyDescent="0.2">
      <c r="A159" s="1">
        <v>1</v>
      </c>
      <c r="B159" s="6" t="str">
        <f>VLOOKUP(A159,'ACTIVOS CODIGO'!A:B,2,0)</f>
        <v>ACTIVO</v>
      </c>
      <c r="C159" s="2">
        <v>2</v>
      </c>
      <c r="D159" s="7" t="str">
        <f>VLOOKUP(C159,'ACTIVOS CODIGO'!C:D,2,0)</f>
        <v>ACTIVO DE LA HACIENDA = ACTIVO NO CORRIENTE</v>
      </c>
      <c r="E159" s="3">
        <v>2</v>
      </c>
      <c r="F159" s="8" t="str">
        <f>VLOOKUP(E159,'ACTIVOS CODIGO'!E:F,2,0)</f>
        <v>ACTIVO EXIGIBLE</v>
      </c>
      <c r="G159" s="10">
        <v>212</v>
      </c>
      <c r="H159" s="10" t="str">
        <f>VLOOKUP(G159,'PUB 21'!$A$1:$B$29,2,0)</f>
        <v>BIENES INMUEBLES</v>
      </c>
      <c r="M159" s="27" t="str">
        <f t="shared" si="17"/>
        <v>1-2-2-21-20-00</v>
      </c>
      <c r="N159" s="27" t="str">
        <f t="shared" si="18"/>
        <v>BIENES INMUEBLES</v>
      </c>
      <c r="O159" s="4">
        <f t="shared" si="14"/>
        <v>7</v>
      </c>
      <c r="P159" s="4" t="s">
        <v>180</v>
      </c>
      <c r="Q159" s="4" t="str">
        <f t="shared" si="16"/>
        <v>1-2-2-21-20-00-007</v>
      </c>
      <c r="R159" s="4" t="str">
        <f t="shared" si="15"/>
        <v>PARROQUIA LA PASTORA</v>
      </c>
    </row>
    <row r="160" spans="1:18" ht="23.25" x14ac:dyDescent="0.2">
      <c r="A160" s="1">
        <v>1</v>
      </c>
      <c r="B160" s="6" t="str">
        <f>VLOOKUP(A160,'ACTIVOS CODIGO'!A:B,2,0)</f>
        <v>ACTIVO</v>
      </c>
      <c r="C160" s="2">
        <v>2</v>
      </c>
      <c r="D160" s="7" t="str">
        <f>VLOOKUP(C160,'ACTIVOS CODIGO'!C:D,2,0)</f>
        <v>ACTIVO DE LA HACIENDA = ACTIVO NO CORRIENTE</v>
      </c>
      <c r="E160" s="3">
        <v>2</v>
      </c>
      <c r="F160" s="8" t="str">
        <f>VLOOKUP(E160,'ACTIVOS CODIGO'!E:F,2,0)</f>
        <v>ACTIVO EXIGIBLE</v>
      </c>
      <c r="G160" s="10">
        <v>212</v>
      </c>
      <c r="H160" s="10" t="str">
        <f>VLOOKUP(G160,'PUB 21'!$A$1:$B$29,2,0)</f>
        <v>BIENES INMUEBLES</v>
      </c>
      <c r="M160" s="27" t="str">
        <f t="shared" si="17"/>
        <v>1-2-2-21-20-00</v>
      </c>
      <c r="N160" s="27" t="str">
        <f t="shared" si="18"/>
        <v>BIENES INMUEBLES</v>
      </c>
      <c r="O160" s="4">
        <f t="shared" si="14"/>
        <v>8</v>
      </c>
      <c r="P160" s="4" t="s">
        <v>181</v>
      </c>
      <c r="Q160" s="4" t="str">
        <f t="shared" si="16"/>
        <v>1-2-2-21-20-00-008</v>
      </c>
      <c r="R160" s="4" t="str">
        <f t="shared" si="15"/>
        <v>PARROQUIA LA VEGA</v>
      </c>
    </row>
    <row r="161" spans="1:18" ht="23.25" x14ac:dyDescent="0.2">
      <c r="A161" s="1">
        <v>1</v>
      </c>
      <c r="B161" s="6" t="str">
        <f>VLOOKUP(A161,'ACTIVOS CODIGO'!A:B,2,0)</f>
        <v>ACTIVO</v>
      </c>
      <c r="C161" s="2">
        <v>2</v>
      </c>
      <c r="D161" s="7" t="str">
        <f>VLOOKUP(C161,'ACTIVOS CODIGO'!C:D,2,0)</f>
        <v>ACTIVO DE LA HACIENDA = ACTIVO NO CORRIENTE</v>
      </c>
      <c r="E161" s="3">
        <v>2</v>
      </c>
      <c r="F161" s="8" t="str">
        <f>VLOOKUP(E161,'ACTIVOS CODIGO'!E:F,2,0)</f>
        <v>ACTIVO EXIGIBLE</v>
      </c>
      <c r="G161" s="10">
        <v>212</v>
      </c>
      <c r="H161" s="10" t="str">
        <f>VLOOKUP(G161,'PUB 21'!$A$1:$B$29,2,0)</f>
        <v>BIENES INMUEBLES</v>
      </c>
      <c r="M161" s="27" t="str">
        <f t="shared" si="17"/>
        <v>1-2-2-21-20-00</v>
      </c>
      <c r="N161" s="27" t="str">
        <f t="shared" si="18"/>
        <v>BIENES INMUEBLES</v>
      </c>
      <c r="O161" s="4">
        <f t="shared" si="14"/>
        <v>9</v>
      </c>
      <c r="P161" s="4" t="s">
        <v>182</v>
      </c>
      <c r="Q161" s="4" t="str">
        <f t="shared" si="16"/>
        <v>1-2-2-21-20-00-009</v>
      </c>
      <c r="R161" s="4" t="str">
        <f t="shared" si="15"/>
        <v>PARROQUIA MACARAO</v>
      </c>
    </row>
    <row r="162" spans="1:18" ht="23.25" x14ac:dyDescent="0.2">
      <c r="A162" s="1">
        <v>1</v>
      </c>
      <c r="B162" s="6" t="str">
        <f>VLOOKUP(A162,'ACTIVOS CODIGO'!A:B,2,0)</f>
        <v>ACTIVO</v>
      </c>
      <c r="C162" s="2">
        <v>2</v>
      </c>
      <c r="D162" s="7" t="str">
        <f>VLOOKUP(C162,'ACTIVOS CODIGO'!C:D,2,0)</f>
        <v>ACTIVO DE LA HACIENDA = ACTIVO NO CORRIENTE</v>
      </c>
      <c r="E162" s="3">
        <v>2</v>
      </c>
      <c r="F162" s="8" t="str">
        <f>VLOOKUP(E162,'ACTIVOS CODIGO'!E:F,2,0)</f>
        <v>ACTIVO EXIGIBLE</v>
      </c>
      <c r="G162" s="10">
        <v>212</v>
      </c>
      <c r="H162" s="10" t="str">
        <f>VLOOKUP(G162,'PUB 21'!$A$1:$B$29,2,0)</f>
        <v>BIENES INMUEBLES</v>
      </c>
      <c r="M162" s="27" t="str">
        <f t="shared" si="17"/>
        <v>1-2-2-21-20-00</v>
      </c>
      <c r="N162" s="27" t="str">
        <f t="shared" si="18"/>
        <v>BIENES INMUEBLES</v>
      </c>
      <c r="O162" s="4">
        <f t="shared" si="14"/>
        <v>10</v>
      </c>
      <c r="P162" s="4" t="s">
        <v>183</v>
      </c>
      <c r="Q162" s="4" t="str">
        <f t="shared" si="16"/>
        <v>1-2-2-21-20-00-010</v>
      </c>
      <c r="R162" s="4" t="str">
        <f t="shared" si="15"/>
        <v>PARROQUIA SAN AGUSTIN</v>
      </c>
    </row>
    <row r="163" spans="1:18" ht="23.25" x14ac:dyDescent="0.2">
      <c r="A163" s="1">
        <v>1</v>
      </c>
      <c r="B163" s="6" t="str">
        <f>VLOOKUP(A163,'ACTIVOS CODIGO'!A:B,2,0)</f>
        <v>ACTIVO</v>
      </c>
      <c r="C163" s="2">
        <v>2</v>
      </c>
      <c r="D163" s="7" t="str">
        <f>VLOOKUP(C163,'ACTIVOS CODIGO'!C:D,2,0)</f>
        <v>ACTIVO DE LA HACIENDA = ACTIVO NO CORRIENTE</v>
      </c>
      <c r="E163" s="3">
        <v>2</v>
      </c>
      <c r="F163" s="8" t="str">
        <f>VLOOKUP(E163,'ACTIVOS CODIGO'!E:F,2,0)</f>
        <v>ACTIVO EXIGIBLE</v>
      </c>
      <c r="G163" s="10">
        <v>212</v>
      </c>
      <c r="H163" s="10" t="str">
        <f>VLOOKUP(G163,'PUB 21'!$A$1:$B$29,2,0)</f>
        <v>BIENES INMUEBLES</v>
      </c>
      <c r="M163" s="27" t="str">
        <f t="shared" si="17"/>
        <v>1-2-2-21-20-00</v>
      </c>
      <c r="N163" s="27" t="str">
        <f t="shared" si="18"/>
        <v>BIENES INMUEBLES</v>
      </c>
      <c r="O163" s="4">
        <f t="shared" si="14"/>
        <v>11</v>
      </c>
      <c r="P163" s="4" t="s">
        <v>184</v>
      </c>
      <c r="Q163" s="4" t="str">
        <f t="shared" si="16"/>
        <v>1-2-2-21-20-00-011</v>
      </c>
      <c r="R163" s="4" t="str">
        <f t="shared" si="15"/>
        <v>PARROQUIA SAN JOSE</v>
      </c>
    </row>
    <row r="164" spans="1:18" ht="23.25" x14ac:dyDescent="0.2">
      <c r="A164" s="1">
        <v>1</v>
      </c>
      <c r="B164" s="6" t="str">
        <f>VLOOKUP(A164,'ACTIVOS CODIGO'!A:B,2,0)</f>
        <v>ACTIVO</v>
      </c>
      <c r="C164" s="2">
        <v>2</v>
      </c>
      <c r="D164" s="7" t="str">
        <f>VLOOKUP(C164,'ACTIVOS CODIGO'!C:D,2,0)</f>
        <v>ACTIVO DE LA HACIENDA = ACTIVO NO CORRIENTE</v>
      </c>
      <c r="E164" s="3">
        <v>2</v>
      </c>
      <c r="F164" s="8" t="str">
        <f>VLOOKUP(E164,'ACTIVOS CODIGO'!E:F,2,0)</f>
        <v>ACTIVO EXIGIBLE</v>
      </c>
      <c r="G164" s="10">
        <v>212</v>
      </c>
      <c r="H164" s="10" t="str">
        <f>VLOOKUP(G164,'PUB 21'!$A$1:$B$29,2,0)</f>
        <v>BIENES INMUEBLES</v>
      </c>
      <c r="M164" s="27" t="str">
        <f t="shared" si="17"/>
        <v>1-2-2-21-20-00</v>
      </c>
      <c r="N164" s="27" t="str">
        <f t="shared" si="18"/>
        <v>BIENES INMUEBLES</v>
      </c>
      <c r="O164" s="4">
        <f t="shared" si="14"/>
        <v>12</v>
      </c>
      <c r="P164" s="4" t="s">
        <v>185</v>
      </c>
      <c r="Q164" s="4" t="str">
        <f t="shared" si="16"/>
        <v>1-2-2-21-20-00-012</v>
      </c>
      <c r="R164" s="4" t="str">
        <f t="shared" si="15"/>
        <v>PARROQUIA SAN JUAN</v>
      </c>
    </row>
    <row r="165" spans="1:18" ht="23.25" x14ac:dyDescent="0.2">
      <c r="A165" s="1">
        <v>1</v>
      </c>
      <c r="B165" s="6" t="str">
        <f>VLOOKUP(A165,'ACTIVOS CODIGO'!A:B,2,0)</f>
        <v>ACTIVO</v>
      </c>
      <c r="C165" s="2">
        <v>2</v>
      </c>
      <c r="D165" s="7" t="str">
        <f>VLOOKUP(C165,'ACTIVOS CODIGO'!C:D,2,0)</f>
        <v>ACTIVO DE LA HACIENDA = ACTIVO NO CORRIENTE</v>
      </c>
      <c r="E165" s="3">
        <v>2</v>
      </c>
      <c r="F165" s="8" t="str">
        <f>VLOOKUP(E165,'ACTIVOS CODIGO'!E:F,2,0)</f>
        <v>ACTIVO EXIGIBLE</v>
      </c>
      <c r="G165" s="10">
        <v>212</v>
      </c>
      <c r="H165" s="10" t="str">
        <f>VLOOKUP(G165,'PUB 21'!$A$1:$B$29,2,0)</f>
        <v>BIENES INMUEBLES</v>
      </c>
      <c r="M165" s="27" t="str">
        <f t="shared" si="17"/>
        <v>1-2-2-21-20-00</v>
      </c>
      <c r="N165" s="27" t="str">
        <f t="shared" si="18"/>
        <v>BIENES INMUEBLES</v>
      </c>
      <c r="O165" s="4">
        <f t="shared" si="14"/>
        <v>13</v>
      </c>
      <c r="P165" s="4" t="s">
        <v>186</v>
      </c>
      <c r="Q165" s="4" t="str">
        <f t="shared" si="16"/>
        <v>1-2-2-21-20-00-013</v>
      </c>
      <c r="R165" s="4" t="str">
        <f t="shared" si="15"/>
        <v>PARROQUIA SANTA ROSALIA</v>
      </c>
    </row>
    <row r="166" spans="1:18" ht="23.25" x14ac:dyDescent="0.2">
      <c r="A166" s="1">
        <v>1</v>
      </c>
      <c r="B166" s="6" t="str">
        <f>VLOOKUP(A166,'ACTIVOS CODIGO'!A:B,2,0)</f>
        <v>ACTIVO</v>
      </c>
      <c r="C166" s="2">
        <v>2</v>
      </c>
      <c r="D166" s="7" t="str">
        <f>VLOOKUP(C166,'ACTIVOS CODIGO'!C:D,2,0)</f>
        <v>ACTIVO DE LA HACIENDA = ACTIVO NO CORRIENTE</v>
      </c>
      <c r="E166" s="3">
        <v>2</v>
      </c>
      <c r="F166" s="8" t="str">
        <f>VLOOKUP(E166,'ACTIVOS CODIGO'!E:F,2,0)</f>
        <v>ACTIVO EXIGIBLE</v>
      </c>
      <c r="G166" s="10">
        <v>212</v>
      </c>
      <c r="H166" s="10" t="str">
        <f>VLOOKUP(G166,'PUB 21'!$A$1:$B$29,2,0)</f>
        <v>BIENES INMUEBLES</v>
      </c>
      <c r="M166" s="27" t="str">
        <f t="shared" si="17"/>
        <v>1-2-2-21-20-00</v>
      </c>
      <c r="N166" s="27" t="str">
        <f t="shared" si="18"/>
        <v>BIENES INMUEBLES</v>
      </c>
      <c r="O166" s="4">
        <f t="shared" si="14"/>
        <v>14</v>
      </c>
      <c r="P166" s="4" t="s">
        <v>187</v>
      </c>
      <c r="Q166" s="4" t="str">
        <f t="shared" si="16"/>
        <v>1-2-2-21-20-00-014</v>
      </c>
      <c r="R166" s="4" t="str">
        <f t="shared" si="15"/>
        <v>PARROQUIA SANTA TERESA</v>
      </c>
    </row>
    <row r="167" spans="1:18" ht="23.25" x14ac:dyDescent="0.2">
      <c r="A167" s="1">
        <v>1</v>
      </c>
      <c r="B167" s="6" t="str">
        <f>VLOOKUP(A167,'ACTIVOS CODIGO'!A:B,2,0)</f>
        <v>ACTIVO</v>
      </c>
      <c r="C167" s="2">
        <v>2</v>
      </c>
      <c r="D167" s="7" t="str">
        <f>VLOOKUP(C167,'ACTIVOS CODIGO'!C:D,2,0)</f>
        <v>ACTIVO DE LA HACIENDA = ACTIVO NO CORRIENTE</v>
      </c>
      <c r="E167" s="3">
        <v>2</v>
      </c>
      <c r="F167" s="8" t="str">
        <f>VLOOKUP(E167,'ACTIVOS CODIGO'!E:F,2,0)</f>
        <v>ACTIVO EXIGIBLE</v>
      </c>
      <c r="G167" s="10">
        <v>212</v>
      </c>
      <c r="H167" s="10" t="str">
        <f>VLOOKUP(G167,'PUB 21'!$A$1:$B$29,2,0)</f>
        <v>BIENES INMUEBLES</v>
      </c>
      <c r="M167" s="27" t="str">
        <f t="shared" si="17"/>
        <v>1-2-2-21-20-00</v>
      </c>
      <c r="N167" s="27" t="str">
        <f t="shared" si="18"/>
        <v>BIENES INMUEBLES</v>
      </c>
      <c r="O167" s="4">
        <f t="shared" si="14"/>
        <v>15</v>
      </c>
      <c r="P167" s="4" t="s">
        <v>188</v>
      </c>
      <c r="Q167" s="4" t="str">
        <f t="shared" si="16"/>
        <v>1-2-2-21-20-00-015</v>
      </c>
      <c r="R167" s="4" t="str">
        <f t="shared" si="15"/>
        <v>PARROQUIA SUCRE</v>
      </c>
    </row>
    <row r="168" spans="1:18" ht="23.25" x14ac:dyDescent="0.2">
      <c r="A168" s="1">
        <v>1</v>
      </c>
      <c r="B168" s="6" t="str">
        <f>VLOOKUP(A168,'ACTIVOS CODIGO'!A:B,2,0)</f>
        <v>ACTIVO</v>
      </c>
      <c r="C168" s="2">
        <v>2</v>
      </c>
      <c r="D168" s="7" t="str">
        <f>VLOOKUP(C168,'ACTIVOS CODIGO'!C:D,2,0)</f>
        <v>ACTIVO DE LA HACIENDA = ACTIVO NO CORRIENTE</v>
      </c>
      <c r="E168" s="3">
        <v>2</v>
      </c>
      <c r="F168" s="8" t="str">
        <f>VLOOKUP(E168,'ACTIVOS CODIGO'!E:F,2,0)</f>
        <v>ACTIVO EXIGIBLE</v>
      </c>
      <c r="G168" s="10">
        <v>212</v>
      </c>
      <c r="H168" s="10" t="str">
        <f>VLOOKUP(G168,'PUB 21'!$A$1:$B$29,2,0)</f>
        <v>BIENES INMUEBLES</v>
      </c>
      <c r="M168" s="27" t="str">
        <f t="shared" si="17"/>
        <v>1-2-2-21-20-00</v>
      </c>
      <c r="N168" s="27" t="str">
        <f t="shared" si="18"/>
        <v>BIENES INMUEBLES</v>
      </c>
      <c r="O168" s="4">
        <f t="shared" si="14"/>
        <v>16</v>
      </c>
      <c r="P168" s="4" t="s">
        <v>189</v>
      </c>
      <c r="Q168" s="4" t="str">
        <f t="shared" si="16"/>
        <v>1-2-2-21-20-00-016</v>
      </c>
      <c r="R168" s="4" t="str">
        <f t="shared" si="15"/>
        <v>PARROQUIA CARICUAO</v>
      </c>
    </row>
    <row r="169" spans="1:18" ht="23.25" x14ac:dyDescent="0.2">
      <c r="A169" s="1">
        <v>1</v>
      </c>
      <c r="B169" s="6" t="str">
        <f>VLOOKUP(A169,'ACTIVOS CODIGO'!A:B,2,0)</f>
        <v>ACTIVO</v>
      </c>
      <c r="C169" s="2">
        <v>2</v>
      </c>
      <c r="D169" s="7" t="str">
        <f>VLOOKUP(C169,'ACTIVOS CODIGO'!C:D,2,0)</f>
        <v>ACTIVO DE LA HACIENDA = ACTIVO NO CORRIENTE</v>
      </c>
      <c r="E169" s="3">
        <v>2</v>
      </c>
      <c r="F169" s="8" t="str">
        <f>VLOOKUP(E169,'ACTIVOS CODIGO'!E:F,2,0)</f>
        <v>ACTIVO EXIGIBLE</v>
      </c>
      <c r="G169" s="10">
        <v>212</v>
      </c>
      <c r="H169" s="10" t="str">
        <f>VLOOKUP(G169,'PUB 21'!$A$1:$B$29,2,0)</f>
        <v>BIENES INMUEBLES</v>
      </c>
      <c r="M169" s="27" t="str">
        <f t="shared" si="17"/>
        <v>1-2-2-21-20-00</v>
      </c>
      <c r="N169" s="27" t="str">
        <f t="shared" si="18"/>
        <v>BIENES INMUEBLES</v>
      </c>
      <c r="O169" s="4">
        <f t="shared" si="14"/>
        <v>17</v>
      </c>
      <c r="P169" s="4" t="s">
        <v>190</v>
      </c>
      <c r="Q169" s="4" t="str">
        <f t="shared" si="16"/>
        <v>1-2-2-21-20-00-017</v>
      </c>
      <c r="R169" s="4" t="str">
        <f t="shared" si="15"/>
        <v>PARROQUIA SAN PEDRO</v>
      </c>
    </row>
    <row r="170" spans="1:18" ht="23.25" x14ac:dyDescent="0.2">
      <c r="A170" s="1">
        <v>1</v>
      </c>
      <c r="B170" s="6" t="str">
        <f>VLOOKUP(A170,'ACTIVOS CODIGO'!A:B,2,0)</f>
        <v>ACTIVO</v>
      </c>
      <c r="C170" s="2">
        <v>2</v>
      </c>
      <c r="D170" s="7" t="str">
        <f>VLOOKUP(C170,'ACTIVOS CODIGO'!C:D,2,0)</f>
        <v>ACTIVO DE LA HACIENDA = ACTIVO NO CORRIENTE</v>
      </c>
      <c r="E170" s="3">
        <v>2</v>
      </c>
      <c r="F170" s="8" t="str">
        <f>VLOOKUP(E170,'ACTIVOS CODIGO'!E:F,2,0)</f>
        <v>ACTIVO EXIGIBLE</v>
      </c>
      <c r="G170" s="10">
        <v>212</v>
      </c>
      <c r="H170" s="10" t="str">
        <f>VLOOKUP(G170,'PUB 21'!$A$1:$B$29,2,0)</f>
        <v>BIENES INMUEBLES</v>
      </c>
      <c r="M170" s="27" t="str">
        <f t="shared" si="17"/>
        <v>1-2-2-21-20-00</v>
      </c>
      <c r="N170" s="27" t="str">
        <f t="shared" si="18"/>
        <v>BIENES INMUEBLES</v>
      </c>
      <c r="O170" s="4">
        <f t="shared" si="14"/>
        <v>18</v>
      </c>
      <c r="P170" s="4" t="s">
        <v>191</v>
      </c>
      <c r="Q170" s="4" t="str">
        <f t="shared" si="16"/>
        <v>1-2-2-21-20-00-018</v>
      </c>
      <c r="R170" s="4" t="str">
        <f t="shared" si="15"/>
        <v>PARROQUIA SAN BERNARDINO</v>
      </c>
    </row>
    <row r="171" spans="1:18" ht="23.25" x14ac:dyDescent="0.2">
      <c r="A171" s="1">
        <v>1</v>
      </c>
      <c r="B171" s="6" t="str">
        <f>VLOOKUP(A171,'ACTIVOS CODIGO'!A:B,2,0)</f>
        <v>ACTIVO</v>
      </c>
      <c r="C171" s="2">
        <v>2</v>
      </c>
      <c r="D171" s="7" t="str">
        <f>VLOOKUP(C171,'ACTIVOS CODIGO'!C:D,2,0)</f>
        <v>ACTIVO DE LA HACIENDA = ACTIVO NO CORRIENTE</v>
      </c>
      <c r="E171" s="3">
        <v>2</v>
      </c>
      <c r="F171" s="8" t="str">
        <f>VLOOKUP(E171,'ACTIVOS CODIGO'!E:F,2,0)</f>
        <v>ACTIVO EXIGIBLE</v>
      </c>
      <c r="G171" s="10">
        <v>212</v>
      </c>
      <c r="H171" s="10" t="str">
        <f>VLOOKUP(G171,'PUB 21'!$A$1:$B$29,2,0)</f>
        <v>BIENES INMUEBLES</v>
      </c>
      <c r="M171" s="27" t="str">
        <f t="shared" si="17"/>
        <v>1-2-2-21-20-00</v>
      </c>
      <c r="N171" s="27" t="str">
        <f t="shared" si="18"/>
        <v>BIENES INMUEBLES</v>
      </c>
      <c r="O171" s="4">
        <f t="shared" si="14"/>
        <v>19</v>
      </c>
      <c r="P171" s="4" t="s">
        <v>192</v>
      </c>
      <c r="Q171" s="4" t="str">
        <f t="shared" si="16"/>
        <v>1-2-2-21-20-00-019</v>
      </c>
      <c r="R171" s="4" t="str">
        <f t="shared" si="15"/>
        <v>PARROQUIA PARAISO</v>
      </c>
    </row>
    <row r="172" spans="1:18" ht="23.25" x14ac:dyDescent="0.2">
      <c r="A172" s="1">
        <v>1</v>
      </c>
      <c r="B172" s="6" t="str">
        <f>VLOOKUP(A172,'ACTIVOS CODIGO'!A:B,2,0)</f>
        <v>ACTIVO</v>
      </c>
      <c r="C172" s="2">
        <v>2</v>
      </c>
      <c r="D172" s="7" t="str">
        <f>VLOOKUP(C172,'ACTIVOS CODIGO'!C:D,2,0)</f>
        <v>ACTIVO DE LA HACIENDA = ACTIVO NO CORRIENTE</v>
      </c>
      <c r="E172" s="3">
        <v>2</v>
      </c>
      <c r="F172" s="8" t="str">
        <f>VLOOKUP(E172,'ACTIVOS CODIGO'!E:F,2,0)</f>
        <v>ACTIVO EXIGIBLE</v>
      </c>
      <c r="G172" s="10">
        <v>212</v>
      </c>
      <c r="H172" s="10" t="str">
        <f>VLOOKUP(G172,'PUB 21'!$A$1:$B$29,2,0)</f>
        <v>BIENES INMUEBLES</v>
      </c>
      <c r="M172" s="27" t="str">
        <f t="shared" si="17"/>
        <v>1-2-2-21-20-00</v>
      </c>
      <c r="N172" s="27" t="str">
        <f t="shared" si="18"/>
        <v>BIENES INMUEBLES</v>
      </c>
      <c r="O172" s="4">
        <f t="shared" si="14"/>
        <v>20</v>
      </c>
      <c r="P172" s="4" t="s">
        <v>193</v>
      </c>
      <c r="Q172" s="4" t="str">
        <f t="shared" si="16"/>
        <v>1-2-2-21-20-00-020</v>
      </c>
      <c r="R172" s="4" t="str">
        <f t="shared" si="15"/>
        <v>TERRENO LOS LOS TUMUSO</v>
      </c>
    </row>
    <row r="173" spans="1:18" ht="23.25" x14ac:dyDescent="0.2">
      <c r="A173" s="1">
        <v>1</v>
      </c>
      <c r="B173" s="6" t="str">
        <f>VLOOKUP(A173,'ACTIVOS CODIGO'!A:B,2,0)</f>
        <v>ACTIVO</v>
      </c>
      <c r="C173" s="2">
        <v>2</v>
      </c>
      <c r="D173" s="7" t="str">
        <f>VLOOKUP(C173,'ACTIVOS CODIGO'!C:D,2,0)</f>
        <v>ACTIVO DE LA HACIENDA = ACTIVO NO CORRIENTE</v>
      </c>
      <c r="E173" s="3">
        <v>2</v>
      </c>
      <c r="F173" s="8" t="str">
        <f>VLOOKUP(E173,'ACTIVOS CODIGO'!E:F,2,0)</f>
        <v>ACTIVO EXIGIBLE</v>
      </c>
      <c r="G173" s="10">
        <v>212</v>
      </c>
      <c r="H173" s="10" t="str">
        <f>VLOOKUP(G173,'PUB 21'!$A$1:$B$29,2,0)</f>
        <v>BIENES INMUEBLES</v>
      </c>
      <c r="M173" s="27" t="str">
        <f t="shared" si="17"/>
        <v>1-2-2-21-20-00</v>
      </c>
      <c r="N173" s="27" t="str">
        <f t="shared" si="18"/>
        <v>BIENES INMUEBLES</v>
      </c>
      <c r="O173" s="4">
        <f t="shared" si="14"/>
        <v>21</v>
      </c>
      <c r="P173" s="4" t="s">
        <v>194</v>
      </c>
      <c r="Q173" s="4" t="str">
        <f t="shared" si="16"/>
        <v>1-2-2-21-20-00-021</v>
      </c>
      <c r="R173" s="4" t="str">
        <f t="shared" si="15"/>
        <v>EDIF. LA NACIONAL</v>
      </c>
    </row>
    <row r="174" spans="1:18" ht="23.25" x14ac:dyDescent="0.2">
      <c r="A174" s="1">
        <v>1</v>
      </c>
      <c r="B174" s="6" t="str">
        <f>VLOOKUP(A174,'ACTIVOS CODIGO'!A:B,2,0)</f>
        <v>ACTIVO</v>
      </c>
      <c r="C174" s="2">
        <v>2</v>
      </c>
      <c r="D174" s="7" t="str">
        <f>VLOOKUP(C174,'ACTIVOS CODIGO'!C:D,2,0)</f>
        <v>ACTIVO DE LA HACIENDA = ACTIVO NO CORRIENTE</v>
      </c>
      <c r="E174" s="3">
        <v>2</v>
      </c>
      <c r="F174" s="8" t="str">
        <f>VLOOKUP(E174,'ACTIVOS CODIGO'!E:F,2,0)</f>
        <v>ACTIVO EXIGIBLE</v>
      </c>
      <c r="G174" s="10">
        <v>212</v>
      </c>
      <c r="H174" s="10" t="str">
        <f>VLOOKUP(G174,'PUB 21'!$A$1:$B$29,2,0)</f>
        <v>BIENES INMUEBLES</v>
      </c>
      <c r="M174" s="27" t="str">
        <f t="shared" si="17"/>
        <v>1-2-2-21-20-00</v>
      </c>
      <c r="N174" s="27" t="str">
        <f t="shared" si="18"/>
        <v>BIENES INMUEBLES</v>
      </c>
      <c r="O174" s="4">
        <f t="shared" si="14"/>
        <v>22</v>
      </c>
      <c r="P174" s="4" t="s">
        <v>195</v>
      </c>
      <c r="Q174" s="4" t="str">
        <f t="shared" si="16"/>
        <v>1-2-2-21-20-00-022</v>
      </c>
      <c r="R174" s="4" t="str">
        <f t="shared" si="15"/>
        <v>QTA. MELITA BOLEITA</v>
      </c>
    </row>
    <row r="175" spans="1:18" ht="23.25" x14ac:dyDescent="0.2">
      <c r="A175" s="1">
        <v>1</v>
      </c>
      <c r="B175" s="6" t="str">
        <f>VLOOKUP(A175,'ACTIVOS CODIGO'!A:B,2,0)</f>
        <v>ACTIVO</v>
      </c>
      <c r="C175" s="2">
        <v>2</v>
      </c>
      <c r="D175" s="7" t="str">
        <f>VLOOKUP(C175,'ACTIVOS CODIGO'!C:D,2,0)</f>
        <v>ACTIVO DE LA HACIENDA = ACTIVO NO CORRIENTE</v>
      </c>
      <c r="E175" s="3">
        <v>2</v>
      </c>
      <c r="F175" s="8" t="str">
        <f>VLOOKUP(E175,'ACTIVOS CODIGO'!E:F,2,0)</f>
        <v>ACTIVO EXIGIBLE</v>
      </c>
      <c r="G175" s="10">
        <v>212</v>
      </c>
      <c r="H175" s="10" t="str">
        <f>VLOOKUP(G175,'PUB 21'!$A$1:$B$29,2,0)</f>
        <v>BIENES INMUEBLES</v>
      </c>
      <c r="M175" s="27" t="str">
        <f t="shared" si="17"/>
        <v>1-2-2-21-20-00</v>
      </c>
      <c r="N175" s="27" t="str">
        <f t="shared" si="18"/>
        <v>BIENES INMUEBLES</v>
      </c>
      <c r="O175" s="4">
        <f t="shared" si="14"/>
        <v>23</v>
      </c>
      <c r="P175" s="4" t="s">
        <v>196</v>
      </c>
      <c r="Q175" s="4" t="str">
        <f t="shared" si="16"/>
        <v>1-2-2-21-20-00-023</v>
      </c>
      <c r="R175" s="4" t="str">
        <f t="shared" si="15"/>
        <v>MARACAY EDO. ARAGUA</v>
      </c>
    </row>
    <row r="176" spans="1:18" ht="23.25" x14ac:dyDescent="0.2">
      <c r="A176" s="1">
        <v>1</v>
      </c>
      <c r="B176" s="6" t="str">
        <f>VLOOKUP(A176,'ACTIVOS CODIGO'!A:B,2,0)</f>
        <v>ACTIVO</v>
      </c>
      <c r="C176" s="2">
        <v>2</v>
      </c>
      <c r="D176" s="7" t="str">
        <f>VLOOKUP(C176,'ACTIVOS CODIGO'!C:D,2,0)</f>
        <v>ACTIVO DE LA HACIENDA = ACTIVO NO CORRIENTE</v>
      </c>
      <c r="E176" s="3">
        <v>2</v>
      </c>
      <c r="F176" s="8" t="str">
        <f>VLOOKUP(E176,'ACTIVOS CODIGO'!E:F,2,0)</f>
        <v>ACTIVO EXIGIBLE</v>
      </c>
      <c r="G176" s="10">
        <v>212</v>
      </c>
      <c r="H176" s="10" t="str">
        <f>VLOOKUP(G176,'PUB 21'!$A$1:$B$29,2,0)</f>
        <v>BIENES INMUEBLES</v>
      </c>
      <c r="M176" s="27" t="str">
        <f t="shared" si="17"/>
        <v>1-2-2-21-20-00</v>
      </c>
      <c r="N176" s="27" t="str">
        <f t="shared" si="18"/>
        <v>BIENES INMUEBLES</v>
      </c>
      <c r="O176" s="4">
        <f t="shared" si="14"/>
        <v>24</v>
      </c>
      <c r="P176" s="4" t="s">
        <v>197</v>
      </c>
      <c r="Q176" s="4" t="str">
        <f t="shared" si="16"/>
        <v>1-2-2-21-20-00-024</v>
      </c>
      <c r="R176" s="4" t="str">
        <f t="shared" si="15"/>
        <v>AV. EL MILAGRO MARACAIBO</v>
      </c>
    </row>
    <row r="177" spans="1:18" ht="23.25" x14ac:dyDescent="0.2">
      <c r="A177" s="1">
        <v>1</v>
      </c>
      <c r="B177" s="6" t="str">
        <f>VLOOKUP(A177,'ACTIVOS CODIGO'!A:B,2,0)</f>
        <v>ACTIVO</v>
      </c>
      <c r="C177" s="2">
        <v>2</v>
      </c>
      <c r="D177" s="7" t="str">
        <f>VLOOKUP(C177,'ACTIVOS CODIGO'!C:D,2,0)</f>
        <v>ACTIVO DE LA HACIENDA = ACTIVO NO CORRIENTE</v>
      </c>
      <c r="E177" s="3">
        <v>2</v>
      </c>
      <c r="F177" s="8" t="str">
        <f>VLOOKUP(E177,'ACTIVOS CODIGO'!E:F,2,0)</f>
        <v>ACTIVO EXIGIBLE</v>
      </c>
      <c r="G177" s="10">
        <v>212</v>
      </c>
      <c r="H177" s="10" t="str">
        <f>VLOOKUP(G177,'PUB 21'!$A$1:$B$29,2,0)</f>
        <v>BIENES INMUEBLES</v>
      </c>
      <c r="M177" s="27" t="str">
        <f t="shared" si="17"/>
        <v>1-2-2-21-20-00</v>
      </c>
      <c r="N177" s="27" t="str">
        <f t="shared" si="18"/>
        <v>BIENES INMUEBLES</v>
      </c>
      <c r="O177" s="4">
        <f t="shared" si="14"/>
        <v>25</v>
      </c>
      <c r="P177" s="4" t="s">
        <v>198</v>
      </c>
      <c r="Q177" s="4" t="str">
        <f t="shared" si="16"/>
        <v>1-2-2-21-20-00-025</v>
      </c>
      <c r="R177" s="4" t="str">
        <f t="shared" si="15"/>
        <v>COCHE</v>
      </c>
    </row>
    <row r="178" spans="1:18" ht="23.25" x14ac:dyDescent="0.2">
      <c r="A178" s="1">
        <v>1</v>
      </c>
      <c r="B178" s="6" t="str">
        <f>VLOOKUP(A178,'ACTIVOS CODIGO'!A:B,2,0)</f>
        <v>ACTIVO</v>
      </c>
      <c r="C178" s="2">
        <v>2</v>
      </c>
      <c r="D178" s="7" t="str">
        <f>VLOOKUP(C178,'ACTIVOS CODIGO'!C:D,2,0)</f>
        <v>ACTIVO DE LA HACIENDA = ACTIVO NO CORRIENTE</v>
      </c>
      <c r="E178" s="3">
        <v>2</v>
      </c>
      <c r="F178" s="8" t="str">
        <f>VLOOKUP(E178,'ACTIVOS CODIGO'!E:F,2,0)</f>
        <v>ACTIVO EXIGIBLE</v>
      </c>
      <c r="G178" s="10">
        <v>212</v>
      </c>
      <c r="H178" s="10" t="str">
        <f>VLOOKUP(G178,'PUB 21'!$A$1:$B$29,2,0)</f>
        <v>BIENES INMUEBLES</v>
      </c>
      <c r="M178" s="27" t="str">
        <f t="shared" si="17"/>
        <v>1-2-2-21-20-00</v>
      </c>
      <c r="N178" s="27" t="str">
        <f t="shared" si="18"/>
        <v>BIENES INMUEBLES</v>
      </c>
      <c r="O178" s="4">
        <f t="shared" si="14"/>
        <v>26</v>
      </c>
      <c r="P178" s="4" t="s">
        <v>199</v>
      </c>
      <c r="Q178" s="4" t="str">
        <f t="shared" si="16"/>
        <v>1-2-2-21-20-00-026</v>
      </c>
      <c r="R178" s="4" t="str">
        <f t="shared" si="15"/>
        <v>VILLA DEL RIO (MIRANDA)</v>
      </c>
    </row>
    <row r="179" spans="1:18" ht="23.25" x14ac:dyDescent="0.2">
      <c r="A179" s="1">
        <v>1</v>
      </c>
      <c r="B179" s="6" t="str">
        <f>VLOOKUP(A179,'ACTIVOS CODIGO'!A:B,2,0)</f>
        <v>ACTIVO</v>
      </c>
      <c r="C179" s="2">
        <v>2</v>
      </c>
      <c r="D179" s="7" t="str">
        <f>VLOOKUP(C179,'ACTIVOS CODIGO'!C:D,2,0)</f>
        <v>ACTIVO DE LA HACIENDA = ACTIVO NO CORRIENTE</v>
      </c>
      <c r="E179" s="3">
        <v>2</v>
      </c>
      <c r="F179" s="8" t="str">
        <f>VLOOKUP(E179,'ACTIVOS CODIGO'!E:F,2,0)</f>
        <v>ACTIVO EXIGIBLE</v>
      </c>
      <c r="G179" s="10">
        <v>212</v>
      </c>
      <c r="H179" s="10" t="str">
        <f>VLOOKUP(G179,'PUB 21'!$A$1:$B$29,2,0)</f>
        <v>BIENES INMUEBLES</v>
      </c>
      <c r="M179" s="27" t="str">
        <f t="shared" si="17"/>
        <v>1-2-2-21-20-00</v>
      </c>
      <c r="N179" s="27" t="str">
        <f t="shared" si="18"/>
        <v>BIENES INMUEBLES</v>
      </c>
      <c r="O179" s="4">
        <f t="shared" si="14"/>
        <v>27</v>
      </c>
      <c r="P179" s="4" t="s">
        <v>200</v>
      </c>
      <c r="Q179" s="4" t="str">
        <f t="shared" si="16"/>
        <v>1-2-2-21-20-00-027</v>
      </c>
      <c r="R179" s="4" t="str">
        <f t="shared" si="15"/>
        <v>EDIFICIO EJECUTIVO MIRANDA</v>
      </c>
    </row>
    <row r="180" spans="1:18" ht="23.25" x14ac:dyDescent="0.2">
      <c r="A180" s="1">
        <v>1</v>
      </c>
      <c r="B180" s="6" t="str">
        <f>VLOOKUP(A180,'ACTIVOS CODIGO'!A:B,2,0)</f>
        <v>ACTIVO</v>
      </c>
      <c r="C180" s="2">
        <v>2</v>
      </c>
      <c r="D180" s="7" t="str">
        <f>VLOOKUP(C180,'ACTIVOS CODIGO'!C:D,2,0)</f>
        <v>ACTIVO DE LA HACIENDA = ACTIVO NO CORRIENTE</v>
      </c>
      <c r="E180" s="3">
        <v>2</v>
      </c>
      <c r="F180" s="8" t="str">
        <f>VLOOKUP(E180,'ACTIVOS CODIGO'!E:F,2,0)</f>
        <v>ACTIVO EXIGIBLE</v>
      </c>
      <c r="G180" s="10">
        <v>212</v>
      </c>
      <c r="H180" s="10" t="str">
        <f>VLOOKUP(G180,'PUB 21'!$A$1:$B$29,2,0)</f>
        <v>BIENES INMUEBLES</v>
      </c>
      <c r="M180" s="27" t="str">
        <f t="shared" si="17"/>
        <v>1-2-2-21-20-00</v>
      </c>
      <c r="N180" s="27" t="str">
        <f t="shared" si="18"/>
        <v>BIENES INMUEBLES</v>
      </c>
      <c r="O180" s="4">
        <f t="shared" si="14"/>
        <v>28</v>
      </c>
      <c r="P180" s="4" t="s">
        <v>201</v>
      </c>
      <c r="Q180" s="4" t="str">
        <f t="shared" si="16"/>
        <v>1-2-2-21-20-00-028</v>
      </c>
      <c r="R180" s="4" t="str">
        <f t="shared" si="15"/>
        <v>EDIFICIO BANVENEZ</v>
      </c>
    </row>
    <row r="181" spans="1:18" ht="23.25" x14ac:dyDescent="0.2">
      <c r="A181" s="1">
        <v>1</v>
      </c>
      <c r="B181" s="6" t="str">
        <f>VLOOKUP(A181,'ACTIVOS CODIGO'!A:B,2,0)</f>
        <v>ACTIVO</v>
      </c>
      <c r="C181" s="2">
        <v>2</v>
      </c>
      <c r="D181" s="7" t="str">
        <f>VLOOKUP(C181,'ACTIVOS CODIGO'!C:D,2,0)</f>
        <v>ACTIVO DE LA HACIENDA = ACTIVO NO CORRIENTE</v>
      </c>
      <c r="E181" s="3">
        <v>2</v>
      </c>
      <c r="F181" s="8" t="str">
        <f>VLOOKUP(E181,'ACTIVOS CODIGO'!E:F,2,0)</f>
        <v>ACTIVO EXIGIBLE</v>
      </c>
      <c r="G181" s="10">
        <v>212</v>
      </c>
      <c r="H181" s="10" t="str">
        <f>VLOOKUP(G181,'PUB 21'!$A$1:$B$29,2,0)</f>
        <v>BIENES INMUEBLES</v>
      </c>
      <c r="M181" s="27" t="str">
        <f t="shared" si="17"/>
        <v>1-2-2-21-20-00</v>
      </c>
      <c r="N181" s="27" t="str">
        <f t="shared" si="18"/>
        <v>BIENES INMUEBLES</v>
      </c>
      <c r="O181" s="4">
        <f t="shared" si="14"/>
        <v>29</v>
      </c>
      <c r="P181" s="4" t="s">
        <v>202</v>
      </c>
      <c r="Q181" s="4" t="str">
        <f t="shared" si="16"/>
        <v>1-2-2-21-20-00-029</v>
      </c>
      <c r="R181" s="4" t="str">
        <f t="shared" si="15"/>
        <v>EDIFICIO GLORIETA</v>
      </c>
    </row>
    <row r="182" spans="1:18" ht="23.25" x14ac:dyDescent="0.2">
      <c r="A182" s="1">
        <v>1</v>
      </c>
      <c r="B182" s="6" t="str">
        <f>VLOOKUP(A182,'ACTIVOS CODIGO'!A:B,2,0)</f>
        <v>ACTIVO</v>
      </c>
      <c r="C182" s="2">
        <v>2</v>
      </c>
      <c r="D182" s="7" t="str">
        <f>VLOOKUP(C182,'ACTIVOS CODIGO'!C:D,2,0)</f>
        <v>ACTIVO DE LA HACIENDA = ACTIVO NO CORRIENTE</v>
      </c>
      <c r="E182" s="3">
        <v>2</v>
      </c>
      <c r="F182" s="8" t="str">
        <f>VLOOKUP(E182,'ACTIVOS CODIGO'!E:F,2,0)</f>
        <v>ACTIVO EXIGIBLE</v>
      </c>
      <c r="G182" s="10">
        <v>212</v>
      </c>
      <c r="H182" s="10" t="str">
        <f>VLOOKUP(G182,'PUB 21'!$A$1:$B$29,2,0)</f>
        <v>BIENES INMUEBLES</v>
      </c>
      <c r="M182" s="27" t="str">
        <f t="shared" si="17"/>
        <v>1-2-2-21-20-00</v>
      </c>
      <c r="N182" s="27" t="str">
        <f t="shared" si="18"/>
        <v>BIENES INMUEBLES</v>
      </c>
      <c r="O182" s="4">
        <f t="shared" si="14"/>
        <v>30</v>
      </c>
      <c r="P182" s="4" t="s">
        <v>203</v>
      </c>
      <c r="Q182" s="4" t="str">
        <f t="shared" si="16"/>
        <v>1-2-2-21-20-00-030</v>
      </c>
      <c r="R182" s="4" t="str">
        <f t="shared" si="15"/>
        <v>PALALCIO MUNICIPAL</v>
      </c>
    </row>
    <row r="183" spans="1:18" ht="23.25" x14ac:dyDescent="0.2">
      <c r="A183" s="1">
        <v>1</v>
      </c>
      <c r="B183" s="6" t="str">
        <f>VLOOKUP(A183,'ACTIVOS CODIGO'!A:B,2,0)</f>
        <v>ACTIVO</v>
      </c>
      <c r="C183" s="2">
        <v>2</v>
      </c>
      <c r="D183" s="7" t="str">
        <f>VLOOKUP(C183,'ACTIVOS CODIGO'!C:D,2,0)</f>
        <v>ACTIVO DE LA HACIENDA = ACTIVO NO CORRIENTE</v>
      </c>
      <c r="E183" s="3">
        <v>2</v>
      </c>
      <c r="F183" s="8" t="str">
        <f>VLOOKUP(E183,'ACTIVOS CODIGO'!E:F,2,0)</f>
        <v>ACTIVO EXIGIBLE</v>
      </c>
      <c r="G183" s="10">
        <v>212</v>
      </c>
      <c r="H183" s="10" t="str">
        <f>VLOOKUP(G183,'PUB 21'!$A$1:$B$29,2,0)</f>
        <v>BIENES INMUEBLES</v>
      </c>
      <c r="M183" s="27" t="str">
        <f t="shared" si="17"/>
        <v>1-2-2-21-20-00</v>
      </c>
      <c r="N183" s="27" t="str">
        <f t="shared" si="18"/>
        <v>BIENES INMUEBLES</v>
      </c>
      <c r="O183" s="4">
        <f t="shared" si="14"/>
        <v>31</v>
      </c>
      <c r="P183" s="4" t="s">
        <v>204</v>
      </c>
      <c r="Q183" s="4" t="str">
        <f t="shared" si="16"/>
        <v>1-2-2-21-20-00-031</v>
      </c>
      <c r="R183" s="4" t="str">
        <f t="shared" si="15"/>
        <v>TEATRO NACIONAL</v>
      </c>
    </row>
    <row r="184" spans="1:18" ht="23.25" x14ac:dyDescent="0.2">
      <c r="A184" s="1">
        <v>1</v>
      </c>
      <c r="B184" s="6" t="str">
        <f>VLOOKUP(A184,'ACTIVOS CODIGO'!A:B,2,0)</f>
        <v>ACTIVO</v>
      </c>
      <c r="C184" s="2">
        <v>2</v>
      </c>
      <c r="D184" s="7" t="str">
        <f>VLOOKUP(C184,'ACTIVOS CODIGO'!C:D,2,0)</f>
        <v>ACTIVO DE LA HACIENDA = ACTIVO NO CORRIENTE</v>
      </c>
      <c r="E184" s="3">
        <v>2</v>
      </c>
      <c r="F184" s="8" t="str">
        <f>VLOOKUP(E184,'ACTIVOS CODIGO'!E:F,2,0)</f>
        <v>ACTIVO EXIGIBLE</v>
      </c>
      <c r="G184" s="10">
        <v>212</v>
      </c>
      <c r="H184" s="10" t="str">
        <f>VLOOKUP(G184,'PUB 21'!$A$1:$B$29,2,0)</f>
        <v>BIENES INMUEBLES</v>
      </c>
      <c r="M184" s="27" t="str">
        <f t="shared" si="17"/>
        <v>1-2-2-21-20-00</v>
      </c>
      <c r="N184" s="27" t="str">
        <f t="shared" si="18"/>
        <v>BIENES INMUEBLES</v>
      </c>
      <c r="O184" s="4">
        <f t="shared" si="14"/>
        <v>32</v>
      </c>
      <c r="P184" s="4" t="s">
        <v>205</v>
      </c>
      <c r="Q184" s="4" t="str">
        <f t="shared" si="16"/>
        <v>1-2-2-21-20-00-032</v>
      </c>
      <c r="R184" s="4" t="str">
        <f t="shared" si="15"/>
        <v>ESTACIONAMIENTO URDANETA</v>
      </c>
    </row>
    <row r="185" spans="1:18" ht="23.25" x14ac:dyDescent="0.2">
      <c r="A185" s="1">
        <v>1</v>
      </c>
      <c r="B185" s="6" t="str">
        <f>VLOOKUP(A185,'ACTIVOS CODIGO'!A:B,2,0)</f>
        <v>ACTIVO</v>
      </c>
      <c r="C185" s="2">
        <v>2</v>
      </c>
      <c r="D185" s="7" t="str">
        <f>VLOOKUP(C185,'ACTIVOS CODIGO'!C:D,2,0)</f>
        <v>ACTIVO DE LA HACIENDA = ACTIVO NO CORRIENTE</v>
      </c>
      <c r="E185" s="3">
        <v>2</v>
      </c>
      <c r="F185" s="8" t="str">
        <f>VLOOKUP(E185,'ACTIVOS CODIGO'!E:F,2,0)</f>
        <v>ACTIVO EXIGIBLE</v>
      </c>
      <c r="G185" s="10">
        <v>212</v>
      </c>
      <c r="H185" s="10" t="str">
        <f>VLOOKUP(G185,'PUB 21'!$A$1:$B$29,2,0)</f>
        <v>BIENES INMUEBLES</v>
      </c>
      <c r="M185" s="27" t="str">
        <f t="shared" si="17"/>
        <v>1-2-2-21-20-00</v>
      </c>
      <c r="N185" s="27" t="str">
        <f t="shared" si="18"/>
        <v>BIENES INMUEBLES</v>
      </c>
      <c r="O185" s="4">
        <f t="shared" si="14"/>
        <v>33</v>
      </c>
      <c r="P185" s="4" t="s">
        <v>206</v>
      </c>
      <c r="Q185" s="4" t="str">
        <f t="shared" si="16"/>
        <v>1-2-2-21-20-00-033</v>
      </c>
      <c r="R185" s="4" t="str">
        <f t="shared" si="15"/>
        <v>ANTIGUO CINE LA PASTORA</v>
      </c>
    </row>
    <row r="186" spans="1:18" ht="23.25" x14ac:dyDescent="0.2">
      <c r="A186" s="1">
        <v>1</v>
      </c>
      <c r="B186" s="6" t="str">
        <f>VLOOKUP(A186,'ACTIVOS CODIGO'!A:B,2,0)</f>
        <v>ACTIVO</v>
      </c>
      <c r="C186" s="2">
        <v>2</v>
      </c>
      <c r="D186" s="7" t="str">
        <f>VLOOKUP(C186,'ACTIVOS CODIGO'!C:D,2,0)</f>
        <v>ACTIVO DE LA HACIENDA = ACTIVO NO CORRIENTE</v>
      </c>
      <c r="E186" s="3">
        <v>2</v>
      </c>
      <c r="F186" s="8" t="str">
        <f>VLOOKUP(E186,'ACTIVOS CODIGO'!E:F,2,0)</f>
        <v>ACTIVO EXIGIBLE</v>
      </c>
      <c r="G186" s="10">
        <v>212</v>
      </c>
      <c r="H186" s="10" t="str">
        <f>VLOOKUP(G186,'PUB 21'!$A$1:$B$29,2,0)</f>
        <v>BIENES INMUEBLES</v>
      </c>
      <c r="M186" s="27" t="str">
        <f t="shared" si="17"/>
        <v>1-2-2-21-20-00</v>
      </c>
      <c r="N186" s="27" t="str">
        <f t="shared" si="18"/>
        <v>BIENES INMUEBLES</v>
      </c>
      <c r="O186" s="4">
        <f t="shared" si="14"/>
        <v>34</v>
      </c>
      <c r="P186" s="4" t="s">
        <v>207</v>
      </c>
      <c r="Q186" s="4" t="str">
        <f t="shared" si="16"/>
        <v>1-2-2-21-20-00-034</v>
      </c>
      <c r="R186" s="4" t="str">
        <f t="shared" si="15"/>
        <v>ESTACIONAMIENTO SAN JACINTO</v>
      </c>
    </row>
    <row r="187" spans="1:18" ht="23.25" x14ac:dyDescent="0.2">
      <c r="A187" s="1">
        <v>1</v>
      </c>
      <c r="B187" s="6" t="str">
        <f>VLOOKUP(A187,'ACTIVOS CODIGO'!A:B,2,0)</f>
        <v>ACTIVO</v>
      </c>
      <c r="C187" s="2">
        <v>2</v>
      </c>
      <c r="D187" s="7" t="str">
        <f>VLOOKUP(C187,'ACTIVOS CODIGO'!C:D,2,0)</f>
        <v>ACTIVO DE LA HACIENDA = ACTIVO NO CORRIENTE</v>
      </c>
      <c r="E187" s="3">
        <v>2</v>
      </c>
      <c r="F187" s="8" t="str">
        <f>VLOOKUP(E187,'ACTIVOS CODIGO'!E:F,2,0)</f>
        <v>ACTIVO EXIGIBLE</v>
      </c>
      <c r="G187" s="10">
        <v>212</v>
      </c>
      <c r="H187" s="10" t="str">
        <f>VLOOKUP(G187,'PUB 21'!$A$1:$B$29,2,0)</f>
        <v>BIENES INMUEBLES</v>
      </c>
      <c r="M187" s="27" t="str">
        <f t="shared" si="17"/>
        <v>1-2-2-21-20-00</v>
      </c>
      <c r="N187" s="27" t="str">
        <f t="shared" si="18"/>
        <v>BIENES INMUEBLES</v>
      </c>
      <c r="O187" s="4">
        <f t="shared" si="14"/>
        <v>35</v>
      </c>
      <c r="P187" s="4" t="s">
        <v>208</v>
      </c>
      <c r="Q187" s="4" t="str">
        <f t="shared" si="16"/>
        <v>1-2-2-21-20-00-035</v>
      </c>
      <c r="R187" s="4" t="str">
        <f t="shared" si="15"/>
        <v>TERRENO MUNICIPAL EL ARABITO</v>
      </c>
    </row>
    <row r="188" spans="1:18" ht="23.25" x14ac:dyDescent="0.2">
      <c r="A188" s="1">
        <v>1</v>
      </c>
      <c r="B188" s="6" t="str">
        <f>VLOOKUP(A188,'ACTIVOS CODIGO'!A:B,2,0)</f>
        <v>ACTIVO</v>
      </c>
      <c r="C188" s="2">
        <v>2</v>
      </c>
      <c r="D188" s="7" t="str">
        <f>VLOOKUP(C188,'ACTIVOS CODIGO'!C:D,2,0)</f>
        <v>ACTIVO DE LA HACIENDA = ACTIVO NO CORRIENTE</v>
      </c>
      <c r="E188" s="3">
        <v>2</v>
      </c>
      <c r="F188" s="8" t="str">
        <f>VLOOKUP(E188,'ACTIVOS CODIGO'!E:F,2,0)</f>
        <v>ACTIVO EXIGIBLE</v>
      </c>
      <c r="G188" s="10">
        <v>212</v>
      </c>
      <c r="H188" s="10" t="str">
        <f>VLOOKUP(G188,'PUB 21'!$A$1:$B$29,2,0)</f>
        <v>BIENES INMUEBLES</v>
      </c>
      <c r="M188" s="27" t="str">
        <f t="shared" si="17"/>
        <v>1-2-2-21-20-00</v>
      </c>
      <c r="N188" s="27" t="str">
        <f t="shared" si="18"/>
        <v>BIENES INMUEBLES</v>
      </c>
      <c r="O188" s="4">
        <f t="shared" si="14"/>
        <v>36</v>
      </c>
      <c r="P188" s="4" t="s">
        <v>209</v>
      </c>
      <c r="Q188" s="4" t="str">
        <f t="shared" si="16"/>
        <v>1-2-2-21-20-00-036</v>
      </c>
      <c r="R188" s="4" t="str">
        <f t="shared" si="15"/>
        <v>QUINTA GUZMAN BLANCO</v>
      </c>
    </row>
    <row r="189" spans="1:18" ht="23.25" x14ac:dyDescent="0.2">
      <c r="A189" s="1">
        <v>1</v>
      </c>
      <c r="B189" s="6" t="str">
        <f>VLOOKUP(A189,'ACTIVOS CODIGO'!A:B,2,0)</f>
        <v>ACTIVO</v>
      </c>
      <c r="C189" s="2">
        <v>2</v>
      </c>
      <c r="D189" s="7" t="str">
        <f>VLOOKUP(C189,'ACTIVOS CODIGO'!C:D,2,0)</f>
        <v>ACTIVO DE LA HACIENDA = ACTIVO NO CORRIENTE</v>
      </c>
      <c r="E189" s="3">
        <v>2</v>
      </c>
      <c r="F189" s="8" t="str">
        <f>VLOOKUP(E189,'ACTIVOS CODIGO'!E:F,2,0)</f>
        <v>ACTIVO EXIGIBLE</v>
      </c>
      <c r="G189" s="10">
        <v>212</v>
      </c>
      <c r="H189" s="10" t="str">
        <f>VLOOKUP(G189,'PUB 21'!$A$1:$B$29,2,0)</f>
        <v>BIENES INMUEBLES</v>
      </c>
      <c r="M189" s="27" t="str">
        <f t="shared" si="17"/>
        <v>1-2-2-21-20-00</v>
      </c>
      <c r="N189" s="27" t="str">
        <f t="shared" si="18"/>
        <v>BIENES INMUEBLES</v>
      </c>
      <c r="O189" s="4">
        <f t="shared" si="14"/>
        <v>37</v>
      </c>
      <c r="P189" s="4" t="s">
        <v>210</v>
      </c>
      <c r="Q189" s="4" t="str">
        <f t="shared" si="16"/>
        <v>1-2-2-21-20-00-037</v>
      </c>
      <c r="R189" s="4" t="str">
        <f t="shared" si="15"/>
        <v>PARQUE ARISTIDE ROJAS</v>
      </c>
    </row>
    <row r="190" spans="1:18" ht="23.25" x14ac:dyDescent="0.2">
      <c r="A190" s="1">
        <v>1</v>
      </c>
      <c r="B190" s="6" t="str">
        <f>VLOOKUP(A190,'ACTIVOS CODIGO'!A:B,2,0)</f>
        <v>ACTIVO</v>
      </c>
      <c r="C190" s="2">
        <v>2</v>
      </c>
      <c r="D190" s="7" t="str">
        <f>VLOOKUP(C190,'ACTIVOS CODIGO'!C:D,2,0)</f>
        <v>ACTIVO DE LA HACIENDA = ACTIVO NO CORRIENTE</v>
      </c>
      <c r="E190" s="3">
        <v>2</v>
      </c>
      <c r="F190" s="8" t="str">
        <f>VLOOKUP(E190,'ACTIVOS CODIGO'!E:F,2,0)</f>
        <v>ACTIVO EXIGIBLE</v>
      </c>
      <c r="G190" s="10">
        <v>212</v>
      </c>
      <c r="H190" s="10" t="str">
        <f>VLOOKUP(G190,'PUB 21'!$A$1:$B$29,2,0)</f>
        <v>BIENES INMUEBLES</v>
      </c>
      <c r="M190" s="27" t="str">
        <f t="shared" si="17"/>
        <v>1-2-2-21-20-00</v>
      </c>
      <c r="N190" s="27" t="str">
        <f t="shared" si="18"/>
        <v>BIENES INMUEBLES</v>
      </c>
      <c r="O190" s="4">
        <f t="shared" si="14"/>
        <v>38</v>
      </c>
      <c r="P190" s="4" t="s">
        <v>211</v>
      </c>
      <c r="Q190" s="4" t="str">
        <f t="shared" si="16"/>
        <v>1-2-2-21-20-00-038</v>
      </c>
      <c r="R190" s="4" t="str">
        <f t="shared" si="15"/>
        <v>FTE. SODA LOS CAOBOS</v>
      </c>
    </row>
    <row r="191" spans="1:18" ht="23.25" x14ac:dyDescent="0.2">
      <c r="A191" s="1">
        <v>1</v>
      </c>
      <c r="B191" s="6" t="str">
        <f>VLOOKUP(A191,'ACTIVOS CODIGO'!A:B,2,0)</f>
        <v>ACTIVO</v>
      </c>
      <c r="C191" s="2">
        <v>2</v>
      </c>
      <c r="D191" s="7" t="str">
        <f>VLOOKUP(C191,'ACTIVOS CODIGO'!C:D,2,0)</f>
        <v>ACTIVO DE LA HACIENDA = ACTIVO NO CORRIENTE</v>
      </c>
      <c r="E191" s="3">
        <v>2</v>
      </c>
      <c r="F191" s="8" t="str">
        <f>VLOOKUP(E191,'ACTIVOS CODIGO'!E:F,2,0)</f>
        <v>ACTIVO EXIGIBLE</v>
      </c>
      <c r="G191" s="10">
        <v>212</v>
      </c>
      <c r="H191" s="10" t="str">
        <f>VLOOKUP(G191,'PUB 21'!$A$1:$B$29,2,0)</f>
        <v>BIENES INMUEBLES</v>
      </c>
      <c r="M191" s="27" t="str">
        <f t="shared" si="17"/>
        <v>1-2-2-21-20-00</v>
      </c>
      <c r="N191" s="27" t="str">
        <f t="shared" si="18"/>
        <v>BIENES INMUEBLES</v>
      </c>
      <c r="O191" s="4">
        <f t="shared" si="14"/>
        <v>39</v>
      </c>
      <c r="P191" s="4" t="s">
        <v>212</v>
      </c>
      <c r="Q191" s="4" t="str">
        <f t="shared" si="16"/>
        <v>1-2-2-21-20-00-039</v>
      </c>
      <c r="R191" s="4" t="str">
        <f t="shared" si="15"/>
        <v>TEATRO MUNICIPAL</v>
      </c>
    </row>
    <row r="192" spans="1:18" ht="23.25" x14ac:dyDescent="0.2">
      <c r="A192" s="1">
        <v>1</v>
      </c>
      <c r="B192" s="6" t="str">
        <f>VLOOKUP(A192,'ACTIVOS CODIGO'!A:B,2,0)</f>
        <v>ACTIVO</v>
      </c>
      <c r="C192" s="2">
        <v>2</v>
      </c>
      <c r="D192" s="7" t="str">
        <f>VLOOKUP(C192,'ACTIVOS CODIGO'!C:D,2,0)</f>
        <v>ACTIVO DE LA HACIENDA = ACTIVO NO CORRIENTE</v>
      </c>
      <c r="E192" s="3">
        <v>2</v>
      </c>
      <c r="F192" s="8" t="str">
        <f>VLOOKUP(E192,'ACTIVOS CODIGO'!E:F,2,0)</f>
        <v>ACTIVO EXIGIBLE</v>
      </c>
      <c r="G192" s="10">
        <v>212</v>
      </c>
      <c r="H192" s="10" t="str">
        <f>VLOOKUP(G192,'PUB 21'!$A$1:$B$29,2,0)</f>
        <v>BIENES INMUEBLES</v>
      </c>
      <c r="M192" s="27" t="str">
        <f t="shared" si="17"/>
        <v>1-2-2-21-20-00</v>
      </c>
      <c r="N192" s="27" t="str">
        <f t="shared" si="18"/>
        <v>BIENES INMUEBLES</v>
      </c>
      <c r="O192" s="4">
        <f t="shared" si="14"/>
        <v>40</v>
      </c>
      <c r="P192" s="4" t="s">
        <v>213</v>
      </c>
      <c r="Q192" s="4" t="str">
        <f t="shared" si="16"/>
        <v>1-2-2-21-20-00-040</v>
      </c>
      <c r="R192" s="4" t="str">
        <f t="shared" si="15"/>
        <v>ESTACIONAMIENTO IESA</v>
      </c>
    </row>
    <row r="193" spans="1:18" ht="23.25" x14ac:dyDescent="0.2">
      <c r="A193" s="1">
        <v>1</v>
      </c>
      <c r="B193" s="6" t="str">
        <f>VLOOKUP(A193,'ACTIVOS CODIGO'!A:B,2,0)</f>
        <v>ACTIVO</v>
      </c>
      <c r="C193" s="2">
        <v>2</v>
      </c>
      <c r="D193" s="7" t="str">
        <f>VLOOKUP(C193,'ACTIVOS CODIGO'!C:D,2,0)</f>
        <v>ACTIVO DE LA HACIENDA = ACTIVO NO CORRIENTE</v>
      </c>
      <c r="E193" s="3">
        <v>2</v>
      </c>
      <c r="F193" s="8" t="str">
        <f>VLOOKUP(E193,'ACTIVOS CODIGO'!E:F,2,0)</f>
        <v>ACTIVO EXIGIBLE</v>
      </c>
      <c r="G193" s="10">
        <v>212</v>
      </c>
      <c r="H193" s="10" t="str">
        <f>VLOOKUP(G193,'PUB 21'!$A$1:$B$29,2,0)</f>
        <v>BIENES INMUEBLES</v>
      </c>
      <c r="M193" s="27" t="str">
        <f t="shared" si="17"/>
        <v>1-2-2-21-20-00</v>
      </c>
      <c r="N193" s="27" t="str">
        <f t="shared" si="18"/>
        <v>BIENES INMUEBLES</v>
      </c>
      <c r="O193" s="4">
        <f t="shared" si="14"/>
        <v>41</v>
      </c>
      <c r="P193" s="4" t="s">
        <v>214</v>
      </c>
      <c r="Q193" s="4" t="str">
        <f t="shared" si="16"/>
        <v>1-2-2-21-20-00-041</v>
      </c>
      <c r="R193" s="4" t="str">
        <f t="shared" si="15"/>
        <v>PARCELA MI HOTEL PRESIDENT</v>
      </c>
    </row>
    <row r="194" spans="1:18" ht="23.25" x14ac:dyDescent="0.2">
      <c r="A194" s="1">
        <v>1</v>
      </c>
      <c r="B194" s="6" t="str">
        <f>VLOOKUP(A194,'ACTIVOS CODIGO'!A:B,2,0)</f>
        <v>ACTIVO</v>
      </c>
      <c r="C194" s="2">
        <v>2</v>
      </c>
      <c r="D194" s="7" t="str">
        <f>VLOOKUP(C194,'ACTIVOS CODIGO'!C:D,2,0)</f>
        <v>ACTIVO DE LA HACIENDA = ACTIVO NO CORRIENTE</v>
      </c>
      <c r="E194" s="3">
        <v>2</v>
      </c>
      <c r="F194" s="8" t="str">
        <f>VLOOKUP(E194,'ACTIVOS CODIGO'!E:F,2,0)</f>
        <v>ACTIVO EXIGIBLE</v>
      </c>
      <c r="G194" s="10">
        <v>212</v>
      </c>
      <c r="H194" s="10" t="str">
        <f>VLOOKUP(G194,'PUB 21'!$A$1:$B$29,2,0)</f>
        <v>BIENES INMUEBLES</v>
      </c>
      <c r="M194" s="27" t="str">
        <f t="shared" si="17"/>
        <v>1-2-2-21-20-00</v>
      </c>
      <c r="N194" s="27" t="str">
        <f t="shared" si="18"/>
        <v>BIENES INMUEBLES</v>
      </c>
      <c r="O194" s="4">
        <f t="shared" si="14"/>
        <v>42</v>
      </c>
      <c r="P194" s="4" t="s">
        <v>215</v>
      </c>
      <c r="Q194" s="4" t="str">
        <f t="shared" si="16"/>
        <v>1-2-2-21-20-00-042</v>
      </c>
      <c r="R194" s="4" t="str">
        <f t="shared" si="15"/>
        <v>GRANJA OASIS</v>
      </c>
    </row>
    <row r="195" spans="1:18" ht="23.25" x14ac:dyDescent="0.2">
      <c r="A195" s="1">
        <v>1</v>
      </c>
      <c r="B195" s="6" t="str">
        <f>VLOOKUP(A195,'ACTIVOS CODIGO'!A:B,2,0)</f>
        <v>ACTIVO</v>
      </c>
      <c r="C195" s="2">
        <v>2</v>
      </c>
      <c r="D195" s="7" t="str">
        <f>VLOOKUP(C195,'ACTIVOS CODIGO'!C:D,2,0)</f>
        <v>ACTIVO DE LA HACIENDA = ACTIVO NO CORRIENTE</v>
      </c>
      <c r="E195" s="3">
        <v>2</v>
      </c>
      <c r="F195" s="8" t="str">
        <f>VLOOKUP(E195,'ACTIVOS CODIGO'!E:F,2,0)</f>
        <v>ACTIVO EXIGIBLE</v>
      </c>
      <c r="G195" s="10">
        <v>212</v>
      </c>
      <c r="H195" s="10" t="str">
        <f>VLOOKUP(G195,'PUB 21'!$A$1:$B$29,2,0)</f>
        <v>BIENES INMUEBLES</v>
      </c>
      <c r="M195" s="27" t="str">
        <f t="shared" si="17"/>
        <v>1-2-2-21-20-00</v>
      </c>
      <c r="N195" s="27" t="str">
        <f t="shared" si="18"/>
        <v>BIENES INMUEBLES</v>
      </c>
      <c r="O195" s="4">
        <f t="shared" si="14"/>
        <v>43</v>
      </c>
      <c r="P195" s="4" t="s">
        <v>216</v>
      </c>
      <c r="Q195" s="4" t="str">
        <f t="shared" si="16"/>
        <v>1-2-2-21-20-00-043</v>
      </c>
      <c r="R195" s="4" t="str">
        <f t="shared" si="15"/>
        <v>LOCAL METRO MERCADO LA BANDERA</v>
      </c>
    </row>
    <row r="196" spans="1:18" ht="23.25" x14ac:dyDescent="0.2">
      <c r="A196" s="1">
        <v>1</v>
      </c>
      <c r="B196" s="6" t="str">
        <f>VLOOKUP(A196,'ACTIVOS CODIGO'!A:B,2,0)</f>
        <v>ACTIVO</v>
      </c>
      <c r="C196" s="2">
        <v>2</v>
      </c>
      <c r="D196" s="7" t="str">
        <f>VLOOKUP(C196,'ACTIVOS CODIGO'!C:D,2,0)</f>
        <v>ACTIVO DE LA HACIENDA = ACTIVO NO CORRIENTE</v>
      </c>
      <c r="E196" s="3">
        <v>2</v>
      </c>
      <c r="F196" s="8" t="str">
        <f>VLOOKUP(E196,'ACTIVOS CODIGO'!E:F,2,0)</f>
        <v>ACTIVO EXIGIBLE</v>
      </c>
      <c r="G196" s="10">
        <v>212</v>
      </c>
      <c r="H196" s="10" t="str">
        <f>VLOOKUP(G196,'PUB 21'!$A$1:$B$29,2,0)</f>
        <v>BIENES INMUEBLES</v>
      </c>
      <c r="M196" s="27" t="str">
        <f t="shared" si="17"/>
        <v>1-2-2-21-20-00</v>
      </c>
      <c r="N196" s="27" t="str">
        <f t="shared" si="18"/>
        <v>BIENES INMUEBLES</v>
      </c>
      <c r="O196" s="4">
        <f t="shared" ref="O196:O259" si="21">IF(P196="",0,IF(M195=M196,IF(O195="",0,O195)+1,""))</f>
        <v>44</v>
      </c>
      <c r="P196" s="4" t="s">
        <v>217</v>
      </c>
      <c r="Q196" s="4" t="str">
        <f t="shared" si="16"/>
        <v>1-2-2-21-20-00-044</v>
      </c>
      <c r="R196" s="4" t="str">
        <f t="shared" ref="R196:R259" si="22">IF(P196="",IF(L196="",IF(J196="",IF(H196="",IF(F196="",IF(D196="",B196,D196),F196),H196),J196),L196),P196)</f>
        <v>LOCAL EDIF. DORAL CARACAS</v>
      </c>
    </row>
    <row r="197" spans="1:18" ht="23.25" x14ac:dyDescent="0.2">
      <c r="A197" s="1">
        <v>1</v>
      </c>
      <c r="B197" s="6" t="str">
        <f>VLOOKUP(A197,'ACTIVOS CODIGO'!A:B,2,0)</f>
        <v>ACTIVO</v>
      </c>
      <c r="C197" s="2">
        <v>2</v>
      </c>
      <c r="D197" s="7" t="str">
        <f>VLOOKUP(C197,'ACTIVOS CODIGO'!C:D,2,0)</f>
        <v>ACTIVO DE LA HACIENDA = ACTIVO NO CORRIENTE</v>
      </c>
      <c r="E197" s="3">
        <v>2</v>
      </c>
      <c r="F197" s="8" t="str">
        <f>VLOOKUP(E197,'ACTIVOS CODIGO'!E:F,2,0)</f>
        <v>ACTIVO EXIGIBLE</v>
      </c>
      <c r="G197" s="10">
        <v>212</v>
      </c>
      <c r="H197" s="10" t="str">
        <f>VLOOKUP(G197,'PUB 21'!$A$1:$B$29,2,0)</f>
        <v>BIENES INMUEBLES</v>
      </c>
      <c r="M197" s="27" t="str">
        <f t="shared" ref="M197:M258" si="23">CONCATENATE(TEXT(A197,"0"),"-",TEXT(C197,"0"),"-",TEXT(E197,"0"),"-",TEXT(LEFT(G197,2),"00"),"-",TEXT(RIGHT(G197,1),"0"),TEXT(I197,"0"),"-",TEXT(K197,"00"))</f>
        <v>1-2-2-21-20-00</v>
      </c>
      <c r="N197" s="27" t="str">
        <f t="shared" ref="N197:N258" si="24">IF(L197="",IF(J197="",IF(H197="",IF(F197="",IF(D197="",B197,D197),F197),H197),J197),L197)</f>
        <v>BIENES INMUEBLES</v>
      </c>
      <c r="O197" s="4">
        <f t="shared" si="21"/>
        <v>45</v>
      </c>
      <c r="P197" s="4" t="s">
        <v>218</v>
      </c>
      <c r="Q197" s="4" t="str">
        <f t="shared" ref="Q197:Q260" si="25">CONCATENATE(TEXT(A197,"0"),"-",TEXT(C197,"0"),"-",TEXT(E197,"0"),"-",TEXT(LEFT(G197,2),"00"),"-",TEXT(RIGHT(G197,1),"0"),TEXT(I197,"0"),"-",TEXT(K197,"00"),"-",TEXT(O197,"000"))</f>
        <v>1-2-2-21-20-00-045</v>
      </c>
      <c r="R197" s="4" t="str">
        <f t="shared" si="22"/>
        <v>TORRENTA DE SAN JACINTO</v>
      </c>
    </row>
    <row r="198" spans="1:18" ht="23.25" x14ac:dyDescent="0.2">
      <c r="A198" s="1">
        <v>1</v>
      </c>
      <c r="B198" s="6" t="str">
        <f>VLOOKUP(A198,'ACTIVOS CODIGO'!A:B,2,0)</f>
        <v>ACTIVO</v>
      </c>
      <c r="C198" s="2">
        <v>2</v>
      </c>
      <c r="D198" s="7" t="str">
        <f>VLOOKUP(C198,'ACTIVOS CODIGO'!C:D,2,0)</f>
        <v>ACTIVO DE LA HACIENDA = ACTIVO NO CORRIENTE</v>
      </c>
      <c r="E198" s="3">
        <v>2</v>
      </c>
      <c r="F198" s="8" t="str">
        <f>VLOOKUP(E198,'ACTIVOS CODIGO'!E:F,2,0)</f>
        <v>ACTIVO EXIGIBLE</v>
      </c>
      <c r="G198" s="10">
        <v>212</v>
      </c>
      <c r="H198" s="10" t="str">
        <f>VLOOKUP(G198,'PUB 21'!$A$1:$B$29,2,0)</f>
        <v>BIENES INMUEBLES</v>
      </c>
      <c r="M198" s="27" t="str">
        <f t="shared" si="23"/>
        <v>1-2-2-21-20-00</v>
      </c>
      <c r="N198" s="27" t="str">
        <f t="shared" si="24"/>
        <v>BIENES INMUEBLES</v>
      </c>
      <c r="O198" s="4">
        <f t="shared" si="21"/>
        <v>46</v>
      </c>
      <c r="P198" s="4" t="s">
        <v>219</v>
      </c>
      <c r="Q198" s="4" t="str">
        <f t="shared" si="25"/>
        <v>1-2-2-21-20-00-046</v>
      </c>
      <c r="R198" s="4" t="str">
        <f t="shared" si="22"/>
        <v>PRES. JM DE LOS RIOS CALLEJ.</v>
      </c>
    </row>
    <row r="199" spans="1:18" ht="23.25" x14ac:dyDescent="0.2">
      <c r="A199" s="1">
        <v>1</v>
      </c>
      <c r="B199" s="6" t="str">
        <f>VLOOKUP(A199,'ACTIVOS CODIGO'!A:B,2,0)</f>
        <v>ACTIVO</v>
      </c>
      <c r="C199" s="2">
        <v>2</v>
      </c>
      <c r="D199" s="7" t="str">
        <f>VLOOKUP(C199,'ACTIVOS CODIGO'!C:D,2,0)</f>
        <v>ACTIVO DE LA HACIENDA = ACTIVO NO CORRIENTE</v>
      </c>
      <c r="E199" s="3">
        <v>2</v>
      </c>
      <c r="F199" s="8" t="str">
        <f>VLOOKUP(E199,'ACTIVOS CODIGO'!E:F,2,0)</f>
        <v>ACTIVO EXIGIBLE</v>
      </c>
      <c r="G199" s="10">
        <v>212</v>
      </c>
      <c r="H199" s="10" t="str">
        <f>VLOOKUP(G199,'PUB 21'!$A$1:$B$29,2,0)</f>
        <v>BIENES INMUEBLES</v>
      </c>
      <c r="M199" s="27" t="str">
        <f t="shared" si="23"/>
        <v>1-2-2-21-20-00</v>
      </c>
      <c r="N199" s="27" t="str">
        <f t="shared" si="24"/>
        <v>BIENES INMUEBLES</v>
      </c>
      <c r="O199" s="4">
        <f t="shared" si="21"/>
        <v>47</v>
      </c>
      <c r="P199" s="4" t="s">
        <v>220</v>
      </c>
      <c r="Q199" s="4" t="str">
        <f t="shared" si="25"/>
        <v>1-2-2-21-20-00-047</v>
      </c>
      <c r="R199" s="4" t="str">
        <f t="shared" si="22"/>
        <v>HACIENDA CAMURICHICO</v>
      </c>
    </row>
    <row r="200" spans="1:18" ht="23.25" x14ac:dyDescent="0.2">
      <c r="A200" s="1">
        <v>1</v>
      </c>
      <c r="B200" s="6" t="str">
        <f>VLOOKUP(A200,'ACTIVOS CODIGO'!A:B,2,0)</f>
        <v>ACTIVO</v>
      </c>
      <c r="C200" s="2">
        <v>2</v>
      </c>
      <c r="D200" s="7" t="str">
        <f>VLOOKUP(C200,'ACTIVOS CODIGO'!C:D,2,0)</f>
        <v>ACTIVO DE LA HACIENDA = ACTIVO NO CORRIENTE</v>
      </c>
      <c r="E200" s="3">
        <v>2</v>
      </c>
      <c r="F200" s="8" t="str">
        <f>VLOOKUP(E200,'ACTIVOS CODIGO'!E:F,2,0)</f>
        <v>ACTIVO EXIGIBLE</v>
      </c>
      <c r="G200" s="10">
        <v>212</v>
      </c>
      <c r="H200" s="10" t="str">
        <f>VLOOKUP(G200,'PUB 21'!$A$1:$B$29,2,0)</f>
        <v>BIENES INMUEBLES</v>
      </c>
      <c r="M200" s="27" t="str">
        <f t="shared" si="23"/>
        <v>1-2-2-21-20-00</v>
      </c>
      <c r="N200" s="27" t="str">
        <f t="shared" si="24"/>
        <v>BIENES INMUEBLES</v>
      </c>
      <c r="O200" s="4">
        <f t="shared" si="21"/>
        <v>48</v>
      </c>
      <c r="P200" s="4" t="s">
        <v>221</v>
      </c>
      <c r="Q200" s="4" t="str">
        <f t="shared" si="25"/>
        <v>1-2-2-21-20-00-048</v>
      </c>
      <c r="R200" s="4" t="str">
        <f t="shared" si="22"/>
        <v>TERRENOS LAS TINAJITAS Nro 76</v>
      </c>
    </row>
    <row r="201" spans="1:18" ht="23.25" x14ac:dyDescent="0.2">
      <c r="A201" s="1">
        <v>1</v>
      </c>
      <c r="B201" s="6" t="str">
        <f>VLOOKUP(A201,'ACTIVOS CODIGO'!A:B,2,0)</f>
        <v>ACTIVO</v>
      </c>
      <c r="C201" s="2">
        <v>2</v>
      </c>
      <c r="D201" s="7" t="str">
        <f>VLOOKUP(C201,'ACTIVOS CODIGO'!C:D,2,0)</f>
        <v>ACTIVO DE LA HACIENDA = ACTIVO NO CORRIENTE</v>
      </c>
      <c r="E201" s="3">
        <v>2</v>
      </c>
      <c r="F201" s="8" t="str">
        <f>VLOOKUP(E201,'ACTIVOS CODIGO'!E:F,2,0)</f>
        <v>ACTIVO EXIGIBLE</v>
      </c>
      <c r="G201" s="10">
        <v>212</v>
      </c>
      <c r="H201" s="10" t="str">
        <f>VLOOKUP(G201,'PUB 21'!$A$1:$B$29,2,0)</f>
        <v>BIENES INMUEBLES</v>
      </c>
      <c r="M201" s="27" t="str">
        <f t="shared" si="23"/>
        <v>1-2-2-21-20-00</v>
      </c>
      <c r="N201" s="27" t="str">
        <f t="shared" si="24"/>
        <v>BIENES INMUEBLES</v>
      </c>
      <c r="O201" s="4">
        <f t="shared" si="21"/>
        <v>49</v>
      </c>
      <c r="P201" s="4" t="s">
        <v>222</v>
      </c>
      <c r="Q201" s="4" t="str">
        <f t="shared" si="25"/>
        <v>1-2-2-21-20-00-049</v>
      </c>
      <c r="R201" s="4" t="str">
        <f t="shared" si="22"/>
        <v>TERRENO ALTAGRACIA SAN JOSE</v>
      </c>
    </row>
    <row r="202" spans="1:18" ht="23.25" x14ac:dyDescent="0.2">
      <c r="A202" s="1">
        <v>1</v>
      </c>
      <c r="B202" s="6" t="str">
        <f>VLOOKUP(A202,'ACTIVOS CODIGO'!A:B,2,0)</f>
        <v>ACTIVO</v>
      </c>
      <c r="C202" s="2">
        <v>2</v>
      </c>
      <c r="D202" s="7" t="str">
        <f>VLOOKUP(C202,'ACTIVOS CODIGO'!C:D,2,0)</f>
        <v>ACTIVO DE LA HACIENDA = ACTIVO NO CORRIENTE</v>
      </c>
      <c r="E202" s="3">
        <v>2</v>
      </c>
      <c r="F202" s="8" t="str">
        <f>VLOOKUP(E202,'ACTIVOS CODIGO'!E:F,2,0)</f>
        <v>ACTIVO EXIGIBLE</v>
      </c>
      <c r="G202" s="10">
        <v>212</v>
      </c>
      <c r="H202" s="10" t="str">
        <f>VLOOKUP(G202,'PUB 21'!$A$1:$B$29,2,0)</f>
        <v>BIENES INMUEBLES</v>
      </c>
      <c r="M202" s="27" t="str">
        <f t="shared" si="23"/>
        <v>1-2-2-21-20-00</v>
      </c>
      <c r="N202" s="27" t="str">
        <f t="shared" si="24"/>
        <v>BIENES INMUEBLES</v>
      </c>
      <c r="O202" s="4">
        <f t="shared" si="21"/>
        <v>50</v>
      </c>
      <c r="P202" s="4" t="s">
        <v>223</v>
      </c>
      <c r="Q202" s="4" t="str">
        <f t="shared" si="25"/>
        <v>1-2-2-21-20-00-050</v>
      </c>
      <c r="R202" s="4" t="str">
        <f t="shared" si="22"/>
        <v>TERRENO CATIA CALLE COLOMBIA</v>
      </c>
    </row>
    <row r="203" spans="1:18" ht="23.25" x14ac:dyDescent="0.2">
      <c r="A203" s="1">
        <v>1</v>
      </c>
      <c r="B203" s="6" t="str">
        <f>VLOOKUP(A203,'ACTIVOS CODIGO'!A:B,2,0)</f>
        <v>ACTIVO</v>
      </c>
      <c r="C203" s="2">
        <v>2</v>
      </c>
      <c r="D203" s="7" t="str">
        <f>VLOOKUP(C203,'ACTIVOS CODIGO'!C:D,2,0)</f>
        <v>ACTIVO DE LA HACIENDA = ACTIVO NO CORRIENTE</v>
      </c>
      <c r="E203" s="3">
        <v>2</v>
      </c>
      <c r="F203" s="8" t="str">
        <f>VLOOKUP(E203,'ACTIVOS CODIGO'!E:F,2,0)</f>
        <v>ACTIVO EXIGIBLE</v>
      </c>
      <c r="G203" s="10">
        <v>212</v>
      </c>
      <c r="H203" s="10" t="str">
        <f>VLOOKUP(G203,'PUB 21'!$A$1:$B$29,2,0)</f>
        <v>BIENES INMUEBLES</v>
      </c>
      <c r="M203" s="27" t="str">
        <f t="shared" si="23"/>
        <v>1-2-2-21-20-00</v>
      </c>
      <c r="N203" s="27" t="str">
        <f t="shared" si="24"/>
        <v>BIENES INMUEBLES</v>
      </c>
      <c r="O203" s="4">
        <f t="shared" si="21"/>
        <v>51</v>
      </c>
      <c r="P203" s="4" t="s">
        <v>224</v>
      </c>
      <c r="Q203" s="4" t="str">
        <f t="shared" si="25"/>
        <v>1-2-2-21-20-00-051</v>
      </c>
      <c r="R203" s="4" t="str">
        <f t="shared" si="22"/>
        <v>TERRENO ESQ. FERRENQUIN/PLAT</v>
      </c>
    </row>
    <row r="204" spans="1:18" ht="23.25" x14ac:dyDescent="0.2">
      <c r="A204" s="1">
        <v>1</v>
      </c>
      <c r="B204" s="6" t="str">
        <f>VLOOKUP(A204,'ACTIVOS CODIGO'!A:B,2,0)</f>
        <v>ACTIVO</v>
      </c>
      <c r="C204" s="2">
        <v>2</v>
      </c>
      <c r="D204" s="7" t="str">
        <f>VLOOKUP(C204,'ACTIVOS CODIGO'!C:D,2,0)</f>
        <v>ACTIVO DE LA HACIENDA = ACTIVO NO CORRIENTE</v>
      </c>
      <c r="E204" s="3">
        <v>2</v>
      </c>
      <c r="F204" s="8" t="str">
        <f>VLOOKUP(E204,'ACTIVOS CODIGO'!E:F,2,0)</f>
        <v>ACTIVO EXIGIBLE</v>
      </c>
      <c r="G204" s="10">
        <v>212</v>
      </c>
      <c r="H204" s="10" t="str">
        <f>VLOOKUP(G204,'PUB 21'!$A$1:$B$29,2,0)</f>
        <v>BIENES INMUEBLES</v>
      </c>
      <c r="M204" s="27" t="str">
        <f t="shared" si="23"/>
        <v>1-2-2-21-20-00</v>
      </c>
      <c r="N204" s="27" t="str">
        <f t="shared" si="24"/>
        <v>BIENES INMUEBLES</v>
      </c>
      <c r="O204" s="4">
        <f t="shared" si="21"/>
        <v>52</v>
      </c>
      <c r="P204" s="4" t="s">
        <v>225</v>
      </c>
      <c r="Q204" s="4" t="str">
        <f t="shared" si="25"/>
        <v>1-2-2-21-20-00-052</v>
      </c>
      <c r="R204" s="4" t="str">
        <f t="shared" si="22"/>
        <v>TERRENO PLATANAL A CANDILITO</v>
      </c>
    </row>
    <row r="205" spans="1:18" ht="23.25" x14ac:dyDescent="0.2">
      <c r="A205" s="1">
        <v>1</v>
      </c>
      <c r="B205" s="6" t="str">
        <f>VLOOKUP(A205,'ACTIVOS CODIGO'!A:B,2,0)</f>
        <v>ACTIVO</v>
      </c>
      <c r="C205" s="2">
        <v>2</v>
      </c>
      <c r="D205" s="7" t="str">
        <f>VLOOKUP(C205,'ACTIVOS CODIGO'!C:D,2,0)</f>
        <v>ACTIVO DE LA HACIENDA = ACTIVO NO CORRIENTE</v>
      </c>
      <c r="E205" s="3">
        <v>2</v>
      </c>
      <c r="F205" s="8" t="str">
        <f>VLOOKUP(E205,'ACTIVOS CODIGO'!E:F,2,0)</f>
        <v>ACTIVO EXIGIBLE</v>
      </c>
      <c r="G205" s="10">
        <v>212</v>
      </c>
      <c r="H205" s="10" t="str">
        <f>VLOOKUP(G205,'PUB 21'!$A$1:$B$29,2,0)</f>
        <v>BIENES INMUEBLES</v>
      </c>
      <c r="M205" s="27" t="str">
        <f t="shared" si="23"/>
        <v>1-2-2-21-20-00</v>
      </c>
      <c r="N205" s="27" t="str">
        <f t="shared" si="24"/>
        <v>BIENES INMUEBLES</v>
      </c>
      <c r="O205" s="4">
        <f t="shared" si="21"/>
        <v>53</v>
      </c>
      <c r="P205" s="4" t="s">
        <v>226</v>
      </c>
      <c r="Q205" s="4" t="str">
        <f t="shared" si="25"/>
        <v>1-2-2-21-20-00-053</v>
      </c>
      <c r="R205" s="4" t="str">
        <f t="shared" si="22"/>
        <v>TERRENO BARUTA BRUZUAL, S.B.</v>
      </c>
    </row>
    <row r="206" spans="1:18" ht="23.25" x14ac:dyDescent="0.2">
      <c r="A206" s="1">
        <v>1</v>
      </c>
      <c r="B206" s="6" t="str">
        <f>VLOOKUP(A206,'ACTIVOS CODIGO'!A:B,2,0)</f>
        <v>ACTIVO</v>
      </c>
      <c r="C206" s="2">
        <v>2</v>
      </c>
      <c r="D206" s="7" t="str">
        <f>VLOOKUP(C206,'ACTIVOS CODIGO'!C:D,2,0)</f>
        <v>ACTIVO DE LA HACIENDA = ACTIVO NO CORRIENTE</v>
      </c>
      <c r="E206" s="3">
        <v>2</v>
      </c>
      <c r="F206" s="8" t="str">
        <f>VLOOKUP(E206,'ACTIVOS CODIGO'!E:F,2,0)</f>
        <v>ACTIVO EXIGIBLE</v>
      </c>
      <c r="G206" s="10">
        <v>212</v>
      </c>
      <c r="H206" s="10" t="str">
        <f>VLOOKUP(G206,'PUB 21'!$A$1:$B$29,2,0)</f>
        <v>BIENES INMUEBLES</v>
      </c>
      <c r="M206" s="27" t="str">
        <f t="shared" si="23"/>
        <v>1-2-2-21-20-00</v>
      </c>
      <c r="N206" s="27" t="str">
        <f t="shared" si="24"/>
        <v>BIENES INMUEBLES</v>
      </c>
      <c r="O206" s="4">
        <f t="shared" si="21"/>
        <v>54</v>
      </c>
      <c r="P206" s="4" t="s">
        <v>227</v>
      </c>
      <c r="Q206" s="4" t="str">
        <f t="shared" si="25"/>
        <v>1-2-2-21-20-00-054</v>
      </c>
      <c r="R206" s="4" t="str">
        <f t="shared" si="22"/>
        <v>TERRENO EL CALVARIO LOTE A</v>
      </c>
    </row>
    <row r="207" spans="1:18" ht="23.25" x14ac:dyDescent="0.2">
      <c r="A207" s="1">
        <v>1</v>
      </c>
      <c r="B207" s="6" t="str">
        <f>VLOOKUP(A207,'ACTIVOS CODIGO'!A:B,2,0)</f>
        <v>ACTIVO</v>
      </c>
      <c r="C207" s="2">
        <v>2</v>
      </c>
      <c r="D207" s="7" t="str">
        <f>VLOOKUP(C207,'ACTIVOS CODIGO'!C:D,2,0)</f>
        <v>ACTIVO DE LA HACIENDA = ACTIVO NO CORRIENTE</v>
      </c>
      <c r="E207" s="3">
        <v>2</v>
      </c>
      <c r="F207" s="8" t="str">
        <f>VLOOKUP(E207,'ACTIVOS CODIGO'!E:F,2,0)</f>
        <v>ACTIVO EXIGIBLE</v>
      </c>
      <c r="G207" s="10">
        <v>212</v>
      </c>
      <c r="H207" s="10" t="str">
        <f>VLOOKUP(G207,'PUB 21'!$A$1:$B$29,2,0)</f>
        <v>BIENES INMUEBLES</v>
      </c>
      <c r="M207" s="27" t="str">
        <f t="shared" si="23"/>
        <v>1-2-2-21-20-00</v>
      </c>
      <c r="N207" s="27" t="str">
        <f t="shared" si="24"/>
        <v>BIENES INMUEBLES</v>
      </c>
      <c r="O207" s="4">
        <f t="shared" si="21"/>
        <v>55</v>
      </c>
      <c r="P207" s="4" t="s">
        <v>228</v>
      </c>
      <c r="Q207" s="4" t="str">
        <f t="shared" si="25"/>
        <v>1-2-2-21-20-00-055</v>
      </c>
      <c r="R207" s="4" t="str">
        <f t="shared" si="22"/>
        <v>TERRENO SAN MIGUEL LA LADERA</v>
      </c>
    </row>
    <row r="208" spans="1:18" ht="23.25" x14ac:dyDescent="0.2">
      <c r="A208" s="1">
        <v>1</v>
      </c>
      <c r="B208" s="6" t="str">
        <f>VLOOKUP(A208,'ACTIVOS CODIGO'!A:B,2,0)</f>
        <v>ACTIVO</v>
      </c>
      <c r="C208" s="2">
        <v>2</v>
      </c>
      <c r="D208" s="7" t="str">
        <f>VLOOKUP(C208,'ACTIVOS CODIGO'!C:D,2,0)</f>
        <v>ACTIVO DE LA HACIENDA = ACTIVO NO CORRIENTE</v>
      </c>
      <c r="E208" s="3">
        <v>2</v>
      </c>
      <c r="F208" s="8" t="str">
        <f>VLOOKUP(E208,'ACTIVOS CODIGO'!E:F,2,0)</f>
        <v>ACTIVO EXIGIBLE</v>
      </c>
      <c r="G208" s="10">
        <v>212</v>
      </c>
      <c r="H208" s="10" t="str">
        <f>VLOOKUP(G208,'PUB 21'!$A$1:$B$29,2,0)</f>
        <v>BIENES INMUEBLES</v>
      </c>
      <c r="M208" s="27" t="str">
        <f t="shared" si="23"/>
        <v>1-2-2-21-20-00</v>
      </c>
      <c r="N208" s="27" t="str">
        <f t="shared" si="24"/>
        <v>BIENES INMUEBLES</v>
      </c>
      <c r="O208" s="4">
        <f t="shared" si="21"/>
        <v>56</v>
      </c>
      <c r="P208" s="4" t="s">
        <v>229</v>
      </c>
      <c r="Q208" s="4" t="str">
        <f t="shared" si="25"/>
        <v>1-2-2-21-20-00-056</v>
      </c>
      <c r="R208" s="4" t="str">
        <f t="shared" si="22"/>
        <v>TERRENO SECTOR CAÃ‘O AMARILLO</v>
      </c>
    </row>
    <row r="209" spans="1:18" ht="23.25" x14ac:dyDescent="0.2">
      <c r="A209" s="1">
        <v>1</v>
      </c>
      <c r="B209" s="6" t="str">
        <f>VLOOKUP(A209,'ACTIVOS CODIGO'!A:B,2,0)</f>
        <v>ACTIVO</v>
      </c>
      <c r="C209" s="2">
        <v>2</v>
      </c>
      <c r="D209" s="7" t="str">
        <f>VLOOKUP(C209,'ACTIVOS CODIGO'!C:D,2,0)</f>
        <v>ACTIVO DE LA HACIENDA = ACTIVO NO CORRIENTE</v>
      </c>
      <c r="E209" s="3">
        <v>2</v>
      </c>
      <c r="F209" s="8" t="str">
        <f>VLOOKUP(E209,'ACTIVOS CODIGO'!E:F,2,0)</f>
        <v>ACTIVO EXIGIBLE</v>
      </c>
      <c r="G209" s="10">
        <v>212</v>
      </c>
      <c r="H209" s="10" t="str">
        <f>VLOOKUP(G209,'PUB 21'!$A$1:$B$29,2,0)</f>
        <v>BIENES INMUEBLES</v>
      </c>
      <c r="M209" s="27" t="str">
        <f t="shared" si="23"/>
        <v>1-2-2-21-20-00</v>
      </c>
      <c r="N209" s="27" t="str">
        <f t="shared" si="24"/>
        <v>BIENES INMUEBLES</v>
      </c>
      <c r="O209" s="4">
        <f t="shared" si="21"/>
        <v>57</v>
      </c>
      <c r="P209" s="4" t="s">
        <v>230</v>
      </c>
      <c r="Q209" s="4" t="str">
        <f t="shared" si="25"/>
        <v>1-2-2-21-20-00-057</v>
      </c>
      <c r="R209" s="4" t="str">
        <f t="shared" si="22"/>
        <v>TERRENO SAN JUAN 170209/170220</v>
      </c>
    </row>
    <row r="210" spans="1:18" ht="23.25" x14ac:dyDescent="0.2">
      <c r="A210" s="1">
        <v>1</v>
      </c>
      <c r="B210" s="6" t="str">
        <f>VLOOKUP(A210,'ACTIVOS CODIGO'!A:B,2,0)</f>
        <v>ACTIVO</v>
      </c>
      <c r="C210" s="2">
        <v>2</v>
      </c>
      <c r="D210" s="7" t="str">
        <f>VLOOKUP(C210,'ACTIVOS CODIGO'!C:D,2,0)</f>
        <v>ACTIVO DE LA HACIENDA = ACTIVO NO CORRIENTE</v>
      </c>
      <c r="E210" s="3">
        <v>2</v>
      </c>
      <c r="F210" s="8" t="str">
        <f>VLOOKUP(E210,'ACTIVOS CODIGO'!E:F,2,0)</f>
        <v>ACTIVO EXIGIBLE</v>
      </c>
      <c r="G210" s="10">
        <v>212</v>
      </c>
      <c r="H210" s="10" t="str">
        <f>VLOOKUP(G210,'PUB 21'!$A$1:$B$29,2,0)</f>
        <v>BIENES INMUEBLES</v>
      </c>
      <c r="M210" s="27" t="str">
        <f t="shared" si="23"/>
        <v>1-2-2-21-20-00</v>
      </c>
      <c r="N210" s="27" t="str">
        <f t="shared" si="24"/>
        <v>BIENES INMUEBLES</v>
      </c>
      <c r="O210" s="4">
        <f t="shared" si="21"/>
        <v>58</v>
      </c>
      <c r="P210" s="4" t="s">
        <v>231</v>
      </c>
      <c r="Q210" s="4" t="str">
        <f t="shared" si="25"/>
        <v>1-2-2-21-20-00-058</v>
      </c>
      <c r="R210" s="4" t="str">
        <f t="shared" si="22"/>
        <v>TERRENO AVENIDA INTERC VALLE</v>
      </c>
    </row>
    <row r="211" spans="1:18" ht="23.25" x14ac:dyDescent="0.2">
      <c r="A211" s="1">
        <v>1</v>
      </c>
      <c r="B211" s="6" t="str">
        <f>VLOOKUP(A211,'ACTIVOS CODIGO'!A:B,2,0)</f>
        <v>ACTIVO</v>
      </c>
      <c r="C211" s="2">
        <v>2</v>
      </c>
      <c r="D211" s="7" t="str">
        <f>VLOOKUP(C211,'ACTIVOS CODIGO'!C:D,2,0)</f>
        <v>ACTIVO DE LA HACIENDA = ACTIVO NO CORRIENTE</v>
      </c>
      <c r="E211" s="3">
        <v>2</v>
      </c>
      <c r="F211" s="8" t="str">
        <f>VLOOKUP(E211,'ACTIVOS CODIGO'!E:F,2,0)</f>
        <v>ACTIVO EXIGIBLE</v>
      </c>
      <c r="G211" s="10">
        <v>212</v>
      </c>
      <c r="H211" s="10" t="str">
        <f>VLOOKUP(G211,'PUB 21'!$A$1:$B$29,2,0)</f>
        <v>BIENES INMUEBLES</v>
      </c>
      <c r="M211" s="27" t="str">
        <f t="shared" si="23"/>
        <v>1-2-2-21-20-00</v>
      </c>
      <c r="N211" s="27" t="str">
        <f t="shared" si="24"/>
        <v>BIENES INMUEBLES</v>
      </c>
      <c r="O211" s="4">
        <f t="shared" si="21"/>
        <v>59</v>
      </c>
      <c r="P211" s="4" t="s">
        <v>232</v>
      </c>
      <c r="Q211" s="4" t="str">
        <f t="shared" si="25"/>
        <v>1-2-2-21-20-00-059</v>
      </c>
      <c r="R211" s="4" t="str">
        <f t="shared" si="22"/>
        <v>TERRENO PTE JUNIN PESCADOR</v>
      </c>
    </row>
    <row r="212" spans="1:18" ht="23.25" x14ac:dyDescent="0.2">
      <c r="A212" s="1">
        <v>1</v>
      </c>
      <c r="B212" s="6" t="str">
        <f>VLOOKUP(A212,'ACTIVOS CODIGO'!A:B,2,0)</f>
        <v>ACTIVO</v>
      </c>
      <c r="C212" s="2">
        <v>2</v>
      </c>
      <c r="D212" s="7" t="str">
        <f>VLOOKUP(C212,'ACTIVOS CODIGO'!C:D,2,0)</f>
        <v>ACTIVO DE LA HACIENDA = ACTIVO NO CORRIENTE</v>
      </c>
      <c r="E212" s="3">
        <v>2</v>
      </c>
      <c r="F212" s="8" t="str">
        <f>VLOOKUP(E212,'ACTIVOS CODIGO'!E:F,2,0)</f>
        <v>ACTIVO EXIGIBLE</v>
      </c>
      <c r="G212" s="10">
        <v>212</v>
      </c>
      <c r="H212" s="10" t="str">
        <f>VLOOKUP(G212,'PUB 21'!$A$1:$B$29,2,0)</f>
        <v>BIENES INMUEBLES</v>
      </c>
      <c r="M212" s="27" t="str">
        <f t="shared" si="23"/>
        <v>1-2-2-21-20-00</v>
      </c>
      <c r="N212" s="27" t="str">
        <f t="shared" si="24"/>
        <v>BIENES INMUEBLES</v>
      </c>
      <c r="O212" s="4">
        <f t="shared" si="21"/>
        <v>60</v>
      </c>
      <c r="P212" s="4" t="s">
        <v>233</v>
      </c>
      <c r="Q212" s="4" t="str">
        <f t="shared" si="25"/>
        <v>1-2-2-21-20-00-060</v>
      </c>
      <c r="R212" s="4" t="str">
        <f t="shared" si="22"/>
        <v>TERRENO ANAUCO Y PANTEON</v>
      </c>
    </row>
    <row r="213" spans="1:18" ht="23.25" x14ac:dyDescent="0.2">
      <c r="A213" s="1">
        <v>1</v>
      </c>
      <c r="B213" s="6" t="str">
        <f>VLOOKUP(A213,'ACTIVOS CODIGO'!A:B,2,0)</f>
        <v>ACTIVO</v>
      </c>
      <c r="C213" s="2">
        <v>2</v>
      </c>
      <c r="D213" s="7" t="str">
        <f>VLOOKUP(C213,'ACTIVOS CODIGO'!C:D,2,0)</f>
        <v>ACTIVO DE LA HACIENDA = ACTIVO NO CORRIENTE</v>
      </c>
      <c r="E213" s="3">
        <v>2</v>
      </c>
      <c r="F213" s="8" t="str">
        <f>VLOOKUP(E213,'ACTIVOS CODIGO'!E:F,2,0)</f>
        <v>ACTIVO EXIGIBLE</v>
      </c>
      <c r="G213" s="10">
        <v>212</v>
      </c>
      <c r="H213" s="10" t="str">
        <f>VLOOKUP(G213,'PUB 21'!$A$1:$B$29,2,0)</f>
        <v>BIENES INMUEBLES</v>
      </c>
      <c r="M213" s="27" t="str">
        <f t="shared" si="23"/>
        <v>1-2-2-21-20-00</v>
      </c>
      <c r="N213" s="27" t="str">
        <f t="shared" si="24"/>
        <v>BIENES INMUEBLES</v>
      </c>
      <c r="O213" s="4">
        <f t="shared" si="21"/>
        <v>61</v>
      </c>
      <c r="P213" s="4" t="s">
        <v>234</v>
      </c>
      <c r="Q213" s="4" t="str">
        <f t="shared" si="25"/>
        <v>1-2-2-21-20-00-061</v>
      </c>
      <c r="R213" s="4" t="str">
        <f t="shared" si="22"/>
        <v>TERRENO VOLMER Y LAGO</v>
      </c>
    </row>
    <row r="214" spans="1:18" ht="23.25" x14ac:dyDescent="0.2">
      <c r="A214" s="1">
        <v>1</v>
      </c>
      <c r="B214" s="6" t="str">
        <f>VLOOKUP(A214,'ACTIVOS CODIGO'!A:B,2,0)</f>
        <v>ACTIVO</v>
      </c>
      <c r="C214" s="2">
        <v>2</v>
      </c>
      <c r="D214" s="7" t="str">
        <f>VLOOKUP(C214,'ACTIVOS CODIGO'!C:D,2,0)</f>
        <v>ACTIVO DE LA HACIENDA = ACTIVO NO CORRIENTE</v>
      </c>
      <c r="E214" s="3">
        <v>2</v>
      </c>
      <c r="F214" s="8" t="str">
        <f>VLOOKUP(E214,'ACTIVOS CODIGO'!E:F,2,0)</f>
        <v>ACTIVO EXIGIBLE</v>
      </c>
      <c r="G214" s="10">
        <v>212</v>
      </c>
      <c r="H214" s="10" t="str">
        <f>VLOOKUP(G214,'PUB 21'!$A$1:$B$29,2,0)</f>
        <v>BIENES INMUEBLES</v>
      </c>
      <c r="M214" s="27" t="str">
        <f t="shared" si="23"/>
        <v>1-2-2-21-20-00</v>
      </c>
      <c r="N214" s="27" t="str">
        <f t="shared" si="24"/>
        <v>BIENES INMUEBLES</v>
      </c>
      <c r="O214" s="4">
        <f t="shared" si="21"/>
        <v>62</v>
      </c>
      <c r="P214" s="4" t="s">
        <v>235</v>
      </c>
      <c r="Q214" s="4" t="str">
        <f t="shared" si="25"/>
        <v>1-2-2-21-20-00-062</v>
      </c>
      <c r="R214" s="4" t="str">
        <f t="shared" si="22"/>
        <v>TERRENO URB. VISTA ALEGRE</v>
      </c>
    </row>
    <row r="215" spans="1:18" ht="23.25" x14ac:dyDescent="0.2">
      <c r="A215" s="1">
        <v>1</v>
      </c>
      <c r="B215" s="6" t="str">
        <f>VLOOKUP(A215,'ACTIVOS CODIGO'!A:B,2,0)</f>
        <v>ACTIVO</v>
      </c>
      <c r="C215" s="2">
        <v>2</v>
      </c>
      <c r="D215" s="7" t="str">
        <f>VLOOKUP(C215,'ACTIVOS CODIGO'!C:D,2,0)</f>
        <v>ACTIVO DE LA HACIENDA = ACTIVO NO CORRIENTE</v>
      </c>
      <c r="E215" s="3">
        <v>2</v>
      </c>
      <c r="F215" s="8" t="str">
        <f>VLOOKUP(E215,'ACTIVOS CODIGO'!E:F,2,0)</f>
        <v>ACTIVO EXIGIBLE</v>
      </c>
      <c r="G215" s="10">
        <v>214</v>
      </c>
      <c r="H215" s="10" t="str">
        <f>VLOOKUP(G215,'PUB 21'!$A$1:$B$29,2,0)</f>
        <v>BIENES  MUEBLES</v>
      </c>
      <c r="M215" s="27" t="str">
        <f t="shared" si="23"/>
        <v>1-2-2-21-40-00</v>
      </c>
      <c r="N215" s="27" t="str">
        <f t="shared" si="24"/>
        <v>BIENES  MUEBLES</v>
      </c>
      <c r="O215" s="4">
        <f t="shared" si="21"/>
        <v>0</v>
      </c>
      <c r="Q215" s="4" t="str">
        <f t="shared" si="25"/>
        <v>1-2-2-21-40-00-000</v>
      </c>
      <c r="R215" s="4" t="str">
        <f t="shared" si="22"/>
        <v>BIENES  MUEBLES</v>
      </c>
    </row>
    <row r="216" spans="1:18" ht="23.25" x14ac:dyDescent="0.2">
      <c r="A216" s="1">
        <v>1</v>
      </c>
      <c r="B216" s="6" t="str">
        <f>VLOOKUP(A216,'ACTIVOS CODIGO'!A:B,2,0)</f>
        <v>ACTIVO</v>
      </c>
      <c r="C216" s="2">
        <v>2</v>
      </c>
      <c r="D216" s="7" t="str">
        <f>VLOOKUP(C216,'ACTIVOS CODIGO'!C:D,2,0)</f>
        <v>ACTIVO DE LA HACIENDA = ACTIVO NO CORRIENTE</v>
      </c>
      <c r="E216" s="3">
        <v>2</v>
      </c>
      <c r="F216" s="8" t="str">
        <f>VLOOKUP(E216,'ACTIVOS CODIGO'!E:F,2,0)</f>
        <v>ACTIVO EXIGIBLE</v>
      </c>
      <c r="G216" s="10">
        <v>214</v>
      </c>
      <c r="H216" s="10" t="str">
        <f>VLOOKUP(G216,'PUB 21'!$A$1:$B$29,2,0)</f>
        <v>BIENES  MUEBLES</v>
      </c>
      <c r="K216" s="18"/>
      <c r="L216" s="5"/>
      <c r="M216" s="27" t="str">
        <f t="shared" si="23"/>
        <v>1-2-2-21-40-00</v>
      </c>
      <c r="N216" s="27" t="str">
        <f t="shared" si="24"/>
        <v>BIENES  MUEBLES</v>
      </c>
      <c r="O216" s="4">
        <f t="shared" si="21"/>
        <v>1</v>
      </c>
      <c r="P216" s="4" t="s">
        <v>236</v>
      </c>
      <c r="Q216" s="4" t="str">
        <f t="shared" si="25"/>
        <v>1-2-2-21-40-00-001</v>
      </c>
      <c r="R216" s="4" t="str">
        <f t="shared" si="22"/>
        <v>BIENES MUEBLES SIND MCP</v>
      </c>
    </row>
    <row r="217" spans="1:18" ht="23.25" x14ac:dyDescent="0.2">
      <c r="A217" s="1">
        <v>1</v>
      </c>
      <c r="B217" s="6" t="str">
        <f>VLOOKUP(A217,'ACTIVOS CODIGO'!A:B,2,0)</f>
        <v>ACTIVO</v>
      </c>
      <c r="C217" s="2">
        <v>2</v>
      </c>
      <c r="D217" s="7" t="str">
        <f>VLOOKUP(C217,'ACTIVOS CODIGO'!C:D,2,0)</f>
        <v>ACTIVO DE LA HACIENDA = ACTIVO NO CORRIENTE</v>
      </c>
      <c r="E217" s="3">
        <v>2</v>
      </c>
      <c r="F217" s="8" t="str">
        <f>VLOOKUP(E217,'ACTIVOS CODIGO'!E:F,2,0)</f>
        <v>ACTIVO EXIGIBLE</v>
      </c>
      <c r="G217" s="10">
        <v>214</v>
      </c>
      <c r="H217" s="10" t="str">
        <f>VLOOKUP(G217,'PUB 21'!$A$1:$B$29,2,0)</f>
        <v>BIENES  MUEBLES</v>
      </c>
      <c r="K217" s="18"/>
      <c r="L217" s="5"/>
      <c r="M217" s="27" t="str">
        <f t="shared" si="23"/>
        <v>1-2-2-21-40-00</v>
      </c>
      <c r="N217" s="27" t="str">
        <f t="shared" si="24"/>
        <v>BIENES  MUEBLES</v>
      </c>
      <c r="O217" s="4">
        <f t="shared" si="21"/>
        <v>2</v>
      </c>
      <c r="P217" s="4" t="s">
        <v>237</v>
      </c>
      <c r="Q217" s="4" t="str">
        <f t="shared" si="25"/>
        <v>1-2-2-21-40-00-002</v>
      </c>
      <c r="R217" s="4" t="str">
        <f t="shared" si="22"/>
        <v>CONSEJO LOCAL DE PLANIF. PUB.</v>
      </c>
    </row>
    <row r="218" spans="1:18" ht="23.25" x14ac:dyDescent="0.2">
      <c r="A218" s="1">
        <v>1</v>
      </c>
      <c r="B218" s="6" t="str">
        <f>VLOOKUP(A218,'ACTIVOS CODIGO'!A:B,2,0)</f>
        <v>ACTIVO</v>
      </c>
      <c r="C218" s="2">
        <v>2</v>
      </c>
      <c r="D218" s="7" t="str">
        <f>VLOOKUP(C218,'ACTIVOS CODIGO'!C:D,2,0)</f>
        <v>ACTIVO DE LA HACIENDA = ACTIVO NO CORRIENTE</v>
      </c>
      <c r="E218" s="3">
        <v>2</v>
      </c>
      <c r="F218" s="8" t="str">
        <f>VLOOKUP(E218,'ACTIVOS CODIGO'!E:F,2,0)</f>
        <v>ACTIVO EXIGIBLE</v>
      </c>
      <c r="G218" s="10">
        <v>214</v>
      </c>
      <c r="H218" s="10" t="str">
        <f>VLOOKUP(G218,'PUB 21'!$A$1:$B$29,2,0)</f>
        <v>BIENES  MUEBLES</v>
      </c>
      <c r="K218" s="18"/>
      <c r="L218" s="5"/>
      <c r="M218" s="27" t="str">
        <f t="shared" si="23"/>
        <v>1-2-2-21-40-00</v>
      </c>
      <c r="N218" s="27" t="str">
        <f t="shared" si="24"/>
        <v>BIENES  MUEBLES</v>
      </c>
      <c r="O218" s="4">
        <f t="shared" si="21"/>
        <v>3</v>
      </c>
      <c r="P218" s="4" t="s">
        <v>238</v>
      </c>
      <c r="Q218" s="4" t="str">
        <f t="shared" si="25"/>
        <v>1-2-2-21-40-00-003</v>
      </c>
      <c r="R218" s="4" t="str">
        <f t="shared" si="22"/>
        <v>DESPACHO DEL ALCALDE</v>
      </c>
    </row>
    <row r="219" spans="1:18" ht="23.25" x14ac:dyDescent="0.2">
      <c r="A219" s="1">
        <v>1</v>
      </c>
      <c r="B219" s="6" t="str">
        <f>VLOOKUP(A219,'ACTIVOS CODIGO'!A:B,2,0)</f>
        <v>ACTIVO</v>
      </c>
      <c r="C219" s="2">
        <v>2</v>
      </c>
      <c r="D219" s="7" t="str">
        <f>VLOOKUP(C219,'ACTIVOS CODIGO'!C:D,2,0)</f>
        <v>ACTIVO DE LA HACIENDA = ACTIVO NO CORRIENTE</v>
      </c>
      <c r="E219" s="3">
        <v>2</v>
      </c>
      <c r="F219" s="8" t="str">
        <f>VLOOKUP(E219,'ACTIVOS CODIGO'!E:F,2,0)</f>
        <v>ACTIVO EXIGIBLE</v>
      </c>
      <c r="G219" s="10">
        <v>214</v>
      </c>
      <c r="H219" s="10" t="str">
        <f>VLOOKUP(G219,'PUB 21'!$A$1:$B$29,2,0)</f>
        <v>BIENES  MUEBLES</v>
      </c>
      <c r="K219" s="18"/>
      <c r="L219" s="5"/>
      <c r="M219" s="27" t="str">
        <f t="shared" si="23"/>
        <v>1-2-2-21-40-00</v>
      </c>
      <c r="N219" s="27" t="str">
        <f t="shared" si="24"/>
        <v>BIENES  MUEBLES</v>
      </c>
      <c r="O219" s="4">
        <f t="shared" si="21"/>
        <v>4</v>
      </c>
      <c r="P219" s="4" t="s">
        <v>239</v>
      </c>
      <c r="Q219" s="4" t="str">
        <f t="shared" si="25"/>
        <v>1-2-2-21-40-00-004</v>
      </c>
      <c r="R219" s="4" t="str">
        <f t="shared" si="22"/>
        <v>DESPACHO CONSULTOR JURID.</v>
      </c>
    </row>
    <row r="220" spans="1:18" ht="23.25" x14ac:dyDescent="0.2">
      <c r="A220" s="1">
        <v>1</v>
      </c>
      <c r="B220" s="6" t="str">
        <f>VLOOKUP(A220,'ACTIVOS CODIGO'!A:B,2,0)</f>
        <v>ACTIVO</v>
      </c>
      <c r="C220" s="2">
        <v>2</v>
      </c>
      <c r="D220" s="7" t="str">
        <f>VLOOKUP(C220,'ACTIVOS CODIGO'!C:D,2,0)</f>
        <v>ACTIVO DE LA HACIENDA = ACTIVO NO CORRIENTE</v>
      </c>
      <c r="E220" s="3">
        <v>2</v>
      </c>
      <c r="F220" s="8" t="str">
        <f>VLOOKUP(E220,'ACTIVOS CODIGO'!E:F,2,0)</f>
        <v>ACTIVO EXIGIBLE</v>
      </c>
      <c r="G220" s="10">
        <v>214</v>
      </c>
      <c r="H220" s="10" t="str">
        <f>VLOOKUP(G220,'PUB 21'!$A$1:$B$29,2,0)</f>
        <v>BIENES  MUEBLES</v>
      </c>
      <c r="K220" s="18"/>
      <c r="L220" s="5"/>
      <c r="M220" s="27" t="str">
        <f t="shared" si="23"/>
        <v>1-2-2-21-40-00</v>
      </c>
      <c r="N220" s="27" t="str">
        <f t="shared" si="24"/>
        <v>BIENES  MUEBLES</v>
      </c>
      <c r="O220" s="4">
        <f t="shared" si="21"/>
        <v>5</v>
      </c>
      <c r="P220" s="4" t="s">
        <v>240</v>
      </c>
      <c r="Q220" s="4" t="str">
        <f t="shared" si="25"/>
        <v>1-2-2-21-40-00-005</v>
      </c>
      <c r="R220" s="4" t="str">
        <f t="shared" si="22"/>
        <v>DIRECCION DE CONSUL JURID</v>
      </c>
    </row>
    <row r="221" spans="1:18" ht="23.25" x14ac:dyDescent="0.2">
      <c r="A221" s="1">
        <v>1</v>
      </c>
      <c r="B221" s="6" t="str">
        <f>VLOOKUP(A221,'ACTIVOS CODIGO'!A:B,2,0)</f>
        <v>ACTIVO</v>
      </c>
      <c r="C221" s="2">
        <v>2</v>
      </c>
      <c r="D221" s="7" t="str">
        <f>VLOOKUP(C221,'ACTIVOS CODIGO'!C:D,2,0)</f>
        <v>ACTIVO DE LA HACIENDA = ACTIVO NO CORRIENTE</v>
      </c>
      <c r="E221" s="3">
        <v>2</v>
      </c>
      <c r="F221" s="8" t="str">
        <f>VLOOKUP(E221,'ACTIVOS CODIGO'!E:F,2,0)</f>
        <v>ACTIVO EXIGIBLE</v>
      </c>
      <c r="G221" s="10">
        <v>214</v>
      </c>
      <c r="H221" s="10" t="str">
        <f>VLOOKUP(G221,'PUB 21'!$A$1:$B$29,2,0)</f>
        <v>BIENES  MUEBLES</v>
      </c>
      <c r="K221" s="18"/>
      <c r="L221" s="5"/>
      <c r="M221" s="27" t="str">
        <f t="shared" si="23"/>
        <v>1-2-2-21-40-00</v>
      </c>
      <c r="N221" s="27" t="str">
        <f t="shared" si="24"/>
        <v>BIENES  MUEBLES</v>
      </c>
      <c r="O221" s="4">
        <f t="shared" si="21"/>
        <v>6</v>
      </c>
      <c r="P221" s="4" t="s">
        <v>241</v>
      </c>
      <c r="Q221" s="4" t="str">
        <f t="shared" si="25"/>
        <v>1-2-2-21-40-00-006</v>
      </c>
      <c r="R221" s="4" t="str">
        <f t="shared" si="22"/>
        <v>COORD. DE CONVENIOS Y CONTRAT.</v>
      </c>
    </row>
    <row r="222" spans="1:18" ht="23.25" x14ac:dyDescent="0.2">
      <c r="A222" s="1">
        <v>1</v>
      </c>
      <c r="B222" s="6" t="str">
        <f>VLOOKUP(A222,'ACTIVOS CODIGO'!A:B,2,0)</f>
        <v>ACTIVO</v>
      </c>
      <c r="C222" s="2">
        <v>2</v>
      </c>
      <c r="D222" s="7" t="str">
        <f>VLOOKUP(C222,'ACTIVOS CODIGO'!C:D,2,0)</f>
        <v>ACTIVO DE LA HACIENDA = ACTIVO NO CORRIENTE</v>
      </c>
      <c r="E222" s="3">
        <v>2</v>
      </c>
      <c r="F222" s="8" t="str">
        <f>VLOOKUP(E222,'ACTIVOS CODIGO'!E:F,2,0)</f>
        <v>ACTIVO EXIGIBLE</v>
      </c>
      <c r="G222" s="10">
        <v>214</v>
      </c>
      <c r="H222" s="10" t="str">
        <f>VLOOKUP(G222,'PUB 21'!$A$1:$B$29,2,0)</f>
        <v>BIENES  MUEBLES</v>
      </c>
      <c r="K222" s="18"/>
      <c r="L222" s="5"/>
      <c r="M222" s="27" t="str">
        <f t="shared" si="23"/>
        <v>1-2-2-21-40-00</v>
      </c>
      <c r="N222" s="27" t="str">
        <f t="shared" si="24"/>
        <v>BIENES  MUEBLES</v>
      </c>
      <c r="O222" s="4">
        <f t="shared" si="21"/>
        <v>7</v>
      </c>
      <c r="P222" s="4" t="s">
        <v>242</v>
      </c>
      <c r="Q222" s="4" t="str">
        <f t="shared" si="25"/>
        <v>1-2-2-21-40-00-007</v>
      </c>
      <c r="R222" s="4" t="str">
        <f t="shared" si="22"/>
        <v>UNIDAD DE ESTUDIOS NORMATIVOS</v>
      </c>
    </row>
    <row r="223" spans="1:18" ht="23.25" x14ac:dyDescent="0.2">
      <c r="A223" s="1">
        <v>1</v>
      </c>
      <c r="B223" s="6" t="str">
        <f>VLOOKUP(A223,'ACTIVOS CODIGO'!A:B,2,0)</f>
        <v>ACTIVO</v>
      </c>
      <c r="C223" s="2">
        <v>2</v>
      </c>
      <c r="D223" s="7" t="str">
        <f>VLOOKUP(C223,'ACTIVOS CODIGO'!C:D,2,0)</f>
        <v>ACTIVO DE LA HACIENDA = ACTIVO NO CORRIENTE</v>
      </c>
      <c r="E223" s="3">
        <v>2</v>
      </c>
      <c r="F223" s="8" t="str">
        <f>VLOOKUP(E223,'ACTIVOS CODIGO'!E:F,2,0)</f>
        <v>ACTIVO EXIGIBLE</v>
      </c>
      <c r="G223" s="10">
        <v>214</v>
      </c>
      <c r="H223" s="10" t="str">
        <f>VLOOKUP(G223,'PUB 21'!$A$1:$B$29,2,0)</f>
        <v>BIENES  MUEBLES</v>
      </c>
      <c r="K223" s="18"/>
      <c r="L223" s="5"/>
      <c r="M223" s="27" t="str">
        <f t="shared" si="23"/>
        <v>1-2-2-21-40-00</v>
      </c>
      <c r="N223" s="27" t="str">
        <f t="shared" si="24"/>
        <v>BIENES  MUEBLES</v>
      </c>
      <c r="O223" s="4">
        <f t="shared" si="21"/>
        <v>8</v>
      </c>
      <c r="P223" s="4" t="s">
        <v>243</v>
      </c>
      <c r="Q223" s="4" t="str">
        <f t="shared" si="25"/>
        <v>1-2-2-21-40-00-008</v>
      </c>
      <c r="R223" s="4" t="str">
        <f t="shared" si="22"/>
        <v>UNIDAD DICTAMENES Y OPINIONES</v>
      </c>
    </row>
    <row r="224" spans="1:18" ht="23.25" x14ac:dyDescent="0.2">
      <c r="A224" s="1">
        <v>1</v>
      </c>
      <c r="B224" s="6" t="str">
        <f>VLOOKUP(A224,'ACTIVOS CODIGO'!A:B,2,0)</f>
        <v>ACTIVO</v>
      </c>
      <c r="C224" s="2">
        <v>2</v>
      </c>
      <c r="D224" s="7" t="str">
        <f>VLOOKUP(C224,'ACTIVOS CODIGO'!C:D,2,0)</f>
        <v>ACTIVO DE LA HACIENDA = ACTIVO NO CORRIENTE</v>
      </c>
      <c r="E224" s="3">
        <v>2</v>
      </c>
      <c r="F224" s="8" t="str">
        <f>VLOOKUP(E224,'ACTIVOS CODIGO'!E:F,2,0)</f>
        <v>ACTIVO EXIGIBLE</v>
      </c>
      <c r="G224" s="10">
        <v>214</v>
      </c>
      <c r="H224" s="10" t="str">
        <f>VLOOKUP(G224,'PUB 21'!$A$1:$B$29,2,0)</f>
        <v>BIENES  MUEBLES</v>
      </c>
      <c r="K224" s="18"/>
      <c r="L224" s="5"/>
      <c r="M224" s="27" t="str">
        <f t="shared" si="23"/>
        <v>1-2-2-21-40-00</v>
      </c>
      <c r="N224" s="27" t="str">
        <f t="shared" si="24"/>
        <v>BIENES  MUEBLES</v>
      </c>
      <c r="O224" s="4">
        <f t="shared" si="21"/>
        <v>9</v>
      </c>
      <c r="P224" s="4" t="s">
        <v>244</v>
      </c>
      <c r="Q224" s="4" t="str">
        <f t="shared" si="25"/>
        <v>1-2-2-21-40-00-009</v>
      </c>
      <c r="R224" s="4" t="str">
        <f t="shared" si="22"/>
        <v>GESTION GRAL. DE ASUNTOS SOCIOPOLITICOS</v>
      </c>
    </row>
    <row r="225" spans="1:18" ht="23.25" x14ac:dyDescent="0.2">
      <c r="A225" s="1">
        <v>1</v>
      </c>
      <c r="B225" s="6" t="str">
        <f>VLOOKUP(A225,'ACTIVOS CODIGO'!A:B,2,0)</f>
        <v>ACTIVO</v>
      </c>
      <c r="C225" s="2">
        <v>2</v>
      </c>
      <c r="D225" s="7" t="str">
        <f>VLOOKUP(C225,'ACTIVOS CODIGO'!C:D,2,0)</f>
        <v>ACTIVO DE LA HACIENDA = ACTIVO NO CORRIENTE</v>
      </c>
      <c r="E225" s="3">
        <v>2</v>
      </c>
      <c r="F225" s="8" t="str">
        <f>VLOOKUP(E225,'ACTIVOS CODIGO'!E:F,2,0)</f>
        <v>ACTIVO EXIGIBLE</v>
      </c>
      <c r="G225" s="10">
        <v>214</v>
      </c>
      <c r="H225" s="10" t="str">
        <f>VLOOKUP(G225,'PUB 21'!$A$1:$B$29,2,0)</f>
        <v>BIENES  MUEBLES</v>
      </c>
      <c r="K225" s="18"/>
      <c r="L225" s="5"/>
      <c r="M225" s="27" t="str">
        <f t="shared" si="23"/>
        <v>1-2-2-21-40-00</v>
      </c>
      <c r="N225" s="27" t="str">
        <f t="shared" si="24"/>
        <v>BIENES  MUEBLES</v>
      </c>
      <c r="O225" s="4">
        <f t="shared" si="21"/>
        <v>10</v>
      </c>
      <c r="P225" s="4" t="s">
        <v>245</v>
      </c>
      <c r="Q225" s="4" t="str">
        <f t="shared" si="25"/>
        <v>1-2-2-21-40-00-010</v>
      </c>
      <c r="R225" s="4" t="str">
        <f t="shared" si="22"/>
        <v>DIRECCION DE PLANIFICACION URBANA</v>
      </c>
    </row>
    <row r="226" spans="1:18" ht="23.25" x14ac:dyDescent="0.2">
      <c r="A226" s="1">
        <v>1</v>
      </c>
      <c r="B226" s="6" t="str">
        <f>VLOOKUP(A226,'ACTIVOS CODIGO'!A:B,2,0)</f>
        <v>ACTIVO</v>
      </c>
      <c r="C226" s="2">
        <v>2</v>
      </c>
      <c r="D226" s="7" t="str">
        <f>VLOOKUP(C226,'ACTIVOS CODIGO'!C:D,2,0)</f>
        <v>ACTIVO DE LA HACIENDA = ACTIVO NO CORRIENTE</v>
      </c>
      <c r="E226" s="3">
        <v>2</v>
      </c>
      <c r="F226" s="8" t="str">
        <f>VLOOKUP(E226,'ACTIVOS CODIGO'!E:F,2,0)</f>
        <v>ACTIVO EXIGIBLE</v>
      </c>
      <c r="G226" s="10">
        <v>214</v>
      </c>
      <c r="H226" s="10" t="str">
        <f>VLOOKUP(G226,'PUB 21'!$A$1:$B$29,2,0)</f>
        <v>BIENES  MUEBLES</v>
      </c>
      <c r="K226" s="18"/>
      <c r="L226" s="5"/>
      <c r="M226" s="27" t="str">
        <f t="shared" si="23"/>
        <v>1-2-2-21-40-00</v>
      </c>
      <c r="N226" s="27" t="str">
        <f t="shared" si="24"/>
        <v>BIENES  MUEBLES</v>
      </c>
      <c r="O226" s="4">
        <f t="shared" si="21"/>
        <v>11</v>
      </c>
      <c r="P226" s="4" t="s">
        <v>246</v>
      </c>
      <c r="Q226" s="4" t="str">
        <f t="shared" si="25"/>
        <v>1-2-2-21-40-00-011</v>
      </c>
      <c r="R226" s="4" t="str">
        <f t="shared" si="22"/>
        <v>UNIDAD DE INVESTIG. ESP.</v>
      </c>
    </row>
    <row r="227" spans="1:18" ht="23.25" x14ac:dyDescent="0.2">
      <c r="A227" s="1">
        <v>1</v>
      </c>
      <c r="B227" s="6" t="str">
        <f>VLOOKUP(A227,'ACTIVOS CODIGO'!A:B,2,0)</f>
        <v>ACTIVO</v>
      </c>
      <c r="C227" s="2">
        <v>2</v>
      </c>
      <c r="D227" s="7" t="str">
        <f>VLOOKUP(C227,'ACTIVOS CODIGO'!C:D,2,0)</f>
        <v>ACTIVO DE LA HACIENDA = ACTIVO NO CORRIENTE</v>
      </c>
      <c r="E227" s="3">
        <v>2</v>
      </c>
      <c r="F227" s="8" t="str">
        <f>VLOOKUP(E227,'ACTIVOS CODIGO'!E:F,2,0)</f>
        <v>ACTIVO EXIGIBLE</v>
      </c>
      <c r="G227" s="10">
        <v>214</v>
      </c>
      <c r="H227" s="10" t="str">
        <f>VLOOKUP(G227,'PUB 21'!$A$1:$B$29,2,0)</f>
        <v>BIENES  MUEBLES</v>
      </c>
      <c r="K227" s="18"/>
      <c r="L227" s="5"/>
      <c r="M227" s="27" t="str">
        <f t="shared" si="23"/>
        <v>1-2-2-21-40-00</v>
      </c>
      <c r="N227" s="27" t="str">
        <f t="shared" si="24"/>
        <v>BIENES  MUEBLES</v>
      </c>
      <c r="O227" s="4">
        <f t="shared" si="21"/>
        <v>12</v>
      </c>
      <c r="P227" s="4" t="s">
        <v>247</v>
      </c>
      <c r="Q227" s="4" t="str">
        <f t="shared" si="25"/>
        <v>1-2-2-21-40-00-012</v>
      </c>
      <c r="R227" s="4" t="str">
        <f t="shared" si="22"/>
        <v>COORD. DE INVESTIGACIONES</v>
      </c>
    </row>
    <row r="228" spans="1:18" ht="23.25" x14ac:dyDescent="0.2">
      <c r="A228" s="1">
        <v>1</v>
      </c>
      <c r="B228" s="6" t="str">
        <f>VLOOKUP(A228,'ACTIVOS CODIGO'!A:B,2,0)</f>
        <v>ACTIVO</v>
      </c>
      <c r="C228" s="2">
        <v>2</v>
      </c>
      <c r="D228" s="7" t="str">
        <f>VLOOKUP(C228,'ACTIVOS CODIGO'!C:D,2,0)</f>
        <v>ACTIVO DE LA HACIENDA = ACTIVO NO CORRIENTE</v>
      </c>
      <c r="E228" s="3">
        <v>2</v>
      </c>
      <c r="F228" s="8" t="str">
        <f>VLOOKUP(E228,'ACTIVOS CODIGO'!E:F,2,0)</f>
        <v>ACTIVO EXIGIBLE</v>
      </c>
      <c r="G228" s="10">
        <v>214</v>
      </c>
      <c r="H228" s="10" t="str">
        <f>VLOOKUP(G228,'PUB 21'!$A$1:$B$29,2,0)</f>
        <v>BIENES  MUEBLES</v>
      </c>
      <c r="K228" s="18"/>
      <c r="L228" s="5"/>
      <c r="M228" s="27" t="str">
        <f t="shared" si="23"/>
        <v>1-2-2-21-40-00</v>
      </c>
      <c r="N228" s="27" t="str">
        <f t="shared" si="24"/>
        <v>BIENES  MUEBLES</v>
      </c>
      <c r="O228" s="4">
        <f t="shared" si="21"/>
        <v>13</v>
      </c>
      <c r="P228" s="4" t="s">
        <v>248</v>
      </c>
      <c r="Q228" s="4" t="str">
        <f t="shared" si="25"/>
        <v>1-2-2-21-40-00-013</v>
      </c>
      <c r="R228" s="4" t="str">
        <f t="shared" si="22"/>
        <v>COORD. DE SEGURIDAD</v>
      </c>
    </row>
    <row r="229" spans="1:18" ht="23.25" x14ac:dyDescent="0.2">
      <c r="A229" s="1">
        <v>1</v>
      </c>
      <c r="B229" s="6" t="str">
        <f>VLOOKUP(A229,'ACTIVOS CODIGO'!A:B,2,0)</f>
        <v>ACTIVO</v>
      </c>
      <c r="C229" s="2">
        <v>2</v>
      </c>
      <c r="D229" s="7" t="str">
        <f>VLOOKUP(C229,'ACTIVOS CODIGO'!C:D,2,0)</f>
        <v>ACTIVO DE LA HACIENDA = ACTIVO NO CORRIENTE</v>
      </c>
      <c r="E229" s="3">
        <v>2</v>
      </c>
      <c r="F229" s="8" t="str">
        <f>VLOOKUP(E229,'ACTIVOS CODIGO'!E:F,2,0)</f>
        <v>ACTIVO EXIGIBLE</v>
      </c>
      <c r="G229" s="10">
        <v>214</v>
      </c>
      <c r="H229" s="10" t="str">
        <f>VLOOKUP(G229,'PUB 21'!$A$1:$B$29,2,0)</f>
        <v>BIENES  MUEBLES</v>
      </c>
      <c r="K229" s="18"/>
      <c r="L229" s="5"/>
      <c r="M229" s="27" t="str">
        <f t="shared" si="23"/>
        <v>1-2-2-21-40-00</v>
      </c>
      <c r="N229" s="27" t="str">
        <f t="shared" si="24"/>
        <v>BIENES  MUEBLES</v>
      </c>
      <c r="O229" s="4">
        <f t="shared" si="21"/>
        <v>14</v>
      </c>
      <c r="P229" s="4" t="s">
        <v>249</v>
      </c>
      <c r="Q229" s="4" t="str">
        <f t="shared" si="25"/>
        <v>1-2-2-21-40-00-014</v>
      </c>
      <c r="R229" s="4" t="str">
        <f t="shared" si="22"/>
        <v>COORD. DE SUPERVISION</v>
      </c>
    </row>
    <row r="230" spans="1:18" ht="23.25" x14ac:dyDescent="0.2">
      <c r="A230" s="1">
        <v>1</v>
      </c>
      <c r="B230" s="6" t="str">
        <f>VLOOKUP(A230,'ACTIVOS CODIGO'!A:B,2,0)</f>
        <v>ACTIVO</v>
      </c>
      <c r="C230" s="2">
        <v>2</v>
      </c>
      <c r="D230" s="7" t="str">
        <f>VLOOKUP(C230,'ACTIVOS CODIGO'!C:D,2,0)</f>
        <v>ACTIVO DE LA HACIENDA = ACTIVO NO CORRIENTE</v>
      </c>
      <c r="E230" s="3">
        <v>2</v>
      </c>
      <c r="F230" s="8" t="str">
        <f>VLOOKUP(E230,'ACTIVOS CODIGO'!E:F,2,0)</f>
        <v>ACTIVO EXIGIBLE</v>
      </c>
      <c r="G230" s="10">
        <v>214</v>
      </c>
      <c r="H230" s="10" t="str">
        <f>VLOOKUP(G230,'PUB 21'!$A$1:$B$29,2,0)</f>
        <v>BIENES  MUEBLES</v>
      </c>
      <c r="K230" s="18"/>
      <c r="L230" s="5"/>
      <c r="M230" s="27" t="str">
        <f t="shared" si="23"/>
        <v>1-2-2-21-40-00</v>
      </c>
      <c r="N230" s="27" t="str">
        <f t="shared" si="24"/>
        <v>BIENES  MUEBLES</v>
      </c>
      <c r="O230" s="4">
        <f t="shared" si="21"/>
        <v>15</v>
      </c>
      <c r="P230" s="4" t="s">
        <v>250</v>
      </c>
      <c r="Q230" s="4" t="str">
        <f t="shared" si="25"/>
        <v>1-2-2-21-40-00-015</v>
      </c>
      <c r="R230" s="4" t="str">
        <f t="shared" si="22"/>
        <v>UNIDAD DE ATENCION AL PUBL.</v>
      </c>
    </row>
    <row r="231" spans="1:18" ht="23.25" x14ac:dyDescent="0.2">
      <c r="A231" s="1">
        <v>1</v>
      </c>
      <c r="B231" s="6" t="str">
        <f>VLOOKUP(A231,'ACTIVOS CODIGO'!A:B,2,0)</f>
        <v>ACTIVO</v>
      </c>
      <c r="C231" s="2">
        <v>2</v>
      </c>
      <c r="D231" s="7" t="str">
        <f>VLOOKUP(C231,'ACTIVOS CODIGO'!C:D,2,0)</f>
        <v>ACTIVO DE LA HACIENDA = ACTIVO NO CORRIENTE</v>
      </c>
      <c r="E231" s="3">
        <v>2</v>
      </c>
      <c r="F231" s="8" t="str">
        <f>VLOOKUP(E231,'ACTIVOS CODIGO'!E:F,2,0)</f>
        <v>ACTIVO EXIGIBLE</v>
      </c>
      <c r="G231" s="10">
        <v>214</v>
      </c>
      <c r="H231" s="10" t="str">
        <f>VLOOKUP(G231,'PUB 21'!$A$1:$B$29,2,0)</f>
        <v>BIENES  MUEBLES</v>
      </c>
      <c r="K231" s="18"/>
      <c r="L231" s="5"/>
      <c r="M231" s="27" t="str">
        <f t="shared" si="23"/>
        <v>1-2-2-21-40-00</v>
      </c>
      <c r="N231" s="27" t="str">
        <f t="shared" si="24"/>
        <v>BIENES  MUEBLES</v>
      </c>
      <c r="O231" s="4">
        <f t="shared" si="21"/>
        <v>16</v>
      </c>
      <c r="P231" s="4" t="s">
        <v>251</v>
      </c>
      <c r="Q231" s="4" t="str">
        <f t="shared" si="25"/>
        <v>1-2-2-21-40-00-016</v>
      </c>
      <c r="R231" s="4" t="str">
        <f t="shared" si="22"/>
        <v>UNIDAD DE APOYO ADMINIST.</v>
      </c>
    </row>
    <row r="232" spans="1:18" ht="23.25" x14ac:dyDescent="0.2">
      <c r="A232" s="1">
        <v>1</v>
      </c>
      <c r="B232" s="6" t="str">
        <f>VLOOKUP(A232,'ACTIVOS CODIGO'!A:B,2,0)</f>
        <v>ACTIVO</v>
      </c>
      <c r="C232" s="2">
        <v>2</v>
      </c>
      <c r="D232" s="7" t="str">
        <f>VLOOKUP(C232,'ACTIVOS CODIGO'!C:D,2,0)</f>
        <v>ACTIVO DE LA HACIENDA = ACTIVO NO CORRIENTE</v>
      </c>
      <c r="E232" s="3">
        <v>2</v>
      </c>
      <c r="F232" s="8" t="str">
        <f>VLOOKUP(E232,'ACTIVOS CODIGO'!E:F,2,0)</f>
        <v>ACTIVO EXIGIBLE</v>
      </c>
      <c r="G232" s="10">
        <v>214</v>
      </c>
      <c r="H232" s="10" t="str">
        <f>VLOOKUP(G232,'PUB 21'!$A$1:$B$29,2,0)</f>
        <v>BIENES  MUEBLES</v>
      </c>
      <c r="K232" s="18"/>
      <c r="L232" s="5"/>
      <c r="M232" s="27" t="str">
        <f t="shared" si="23"/>
        <v>1-2-2-21-40-00</v>
      </c>
      <c r="N232" s="27" t="str">
        <f t="shared" si="24"/>
        <v>BIENES  MUEBLES</v>
      </c>
      <c r="O232" s="4">
        <f t="shared" si="21"/>
        <v>17</v>
      </c>
      <c r="P232" s="4" t="s">
        <v>252</v>
      </c>
      <c r="Q232" s="4" t="str">
        <f t="shared" si="25"/>
        <v>1-2-2-21-40-00-017</v>
      </c>
      <c r="R232" s="4" t="str">
        <f t="shared" si="22"/>
        <v>DIR. DE INFORM. Y RRPP</v>
      </c>
    </row>
    <row r="233" spans="1:18" ht="23.25" x14ac:dyDescent="0.2">
      <c r="A233" s="1">
        <v>1</v>
      </c>
      <c r="B233" s="6" t="str">
        <f>VLOOKUP(A233,'ACTIVOS CODIGO'!A:B,2,0)</f>
        <v>ACTIVO</v>
      </c>
      <c r="C233" s="2">
        <v>2</v>
      </c>
      <c r="D233" s="7" t="str">
        <f>VLOOKUP(C233,'ACTIVOS CODIGO'!C:D,2,0)</f>
        <v>ACTIVO DE LA HACIENDA = ACTIVO NO CORRIENTE</v>
      </c>
      <c r="E233" s="3">
        <v>2</v>
      </c>
      <c r="F233" s="8" t="str">
        <f>VLOOKUP(E233,'ACTIVOS CODIGO'!E:F,2,0)</f>
        <v>ACTIVO EXIGIBLE</v>
      </c>
      <c r="G233" s="10">
        <v>214</v>
      </c>
      <c r="H233" s="10" t="str">
        <f>VLOOKUP(G233,'PUB 21'!$A$1:$B$29,2,0)</f>
        <v>BIENES  MUEBLES</v>
      </c>
      <c r="K233" s="18"/>
      <c r="L233" s="5"/>
      <c r="M233" s="27" t="str">
        <f t="shared" si="23"/>
        <v>1-2-2-21-40-00</v>
      </c>
      <c r="N233" s="27" t="str">
        <f t="shared" si="24"/>
        <v>BIENES  MUEBLES</v>
      </c>
      <c r="O233" s="4">
        <f t="shared" si="21"/>
        <v>18</v>
      </c>
      <c r="P233" s="4" t="s">
        <v>253</v>
      </c>
      <c r="Q233" s="4" t="str">
        <f t="shared" si="25"/>
        <v>1-2-2-21-40-00-018</v>
      </c>
      <c r="R233" s="4" t="str">
        <f t="shared" si="22"/>
        <v>UNIDAD DE PROT. Y REL. PUBL.</v>
      </c>
    </row>
    <row r="234" spans="1:18" ht="23.25" x14ac:dyDescent="0.2">
      <c r="A234" s="1">
        <v>1</v>
      </c>
      <c r="B234" s="6" t="str">
        <f>VLOOKUP(A234,'ACTIVOS CODIGO'!A:B,2,0)</f>
        <v>ACTIVO</v>
      </c>
      <c r="C234" s="2">
        <v>2</v>
      </c>
      <c r="D234" s="7" t="str">
        <f>VLOOKUP(C234,'ACTIVOS CODIGO'!C:D,2,0)</f>
        <v>ACTIVO DE LA HACIENDA = ACTIVO NO CORRIENTE</v>
      </c>
      <c r="E234" s="3">
        <v>2</v>
      </c>
      <c r="F234" s="8" t="str">
        <f>VLOOKUP(E234,'ACTIVOS CODIGO'!E:F,2,0)</f>
        <v>ACTIVO EXIGIBLE</v>
      </c>
      <c r="G234" s="10">
        <v>214</v>
      </c>
      <c r="H234" s="10" t="str">
        <f>VLOOKUP(G234,'PUB 21'!$A$1:$B$29,2,0)</f>
        <v>BIENES  MUEBLES</v>
      </c>
      <c r="K234" s="18"/>
      <c r="L234" s="5"/>
      <c r="M234" s="27" t="str">
        <f t="shared" si="23"/>
        <v>1-2-2-21-40-00</v>
      </c>
      <c r="N234" s="27" t="str">
        <f t="shared" si="24"/>
        <v>BIENES  MUEBLES</v>
      </c>
      <c r="O234" s="4">
        <f t="shared" si="21"/>
        <v>19</v>
      </c>
      <c r="P234" s="4" t="s">
        <v>254</v>
      </c>
      <c r="Q234" s="4" t="str">
        <f t="shared" si="25"/>
        <v>1-2-2-21-40-00-019</v>
      </c>
      <c r="R234" s="4" t="str">
        <f t="shared" si="22"/>
        <v>COORD. DE PUBLICACIONES</v>
      </c>
    </row>
    <row r="235" spans="1:18" ht="23.25" x14ac:dyDescent="0.2">
      <c r="A235" s="1">
        <v>1</v>
      </c>
      <c r="B235" s="6" t="str">
        <f>VLOOKUP(A235,'ACTIVOS CODIGO'!A:B,2,0)</f>
        <v>ACTIVO</v>
      </c>
      <c r="C235" s="2">
        <v>2</v>
      </c>
      <c r="D235" s="7" t="str">
        <f>VLOOKUP(C235,'ACTIVOS CODIGO'!C:D,2,0)</f>
        <v>ACTIVO DE LA HACIENDA = ACTIVO NO CORRIENTE</v>
      </c>
      <c r="E235" s="3">
        <v>2</v>
      </c>
      <c r="F235" s="8" t="str">
        <f>VLOOKUP(E235,'ACTIVOS CODIGO'!E:F,2,0)</f>
        <v>ACTIVO EXIGIBLE</v>
      </c>
      <c r="G235" s="10">
        <v>214</v>
      </c>
      <c r="H235" s="10" t="str">
        <f>VLOOKUP(G235,'PUB 21'!$A$1:$B$29,2,0)</f>
        <v>BIENES  MUEBLES</v>
      </c>
      <c r="K235" s="18"/>
      <c r="L235" s="5"/>
      <c r="M235" s="27" t="str">
        <f t="shared" si="23"/>
        <v>1-2-2-21-40-00</v>
      </c>
      <c r="N235" s="27" t="str">
        <f t="shared" si="24"/>
        <v>BIENES  MUEBLES</v>
      </c>
      <c r="O235" s="4">
        <f t="shared" si="21"/>
        <v>20</v>
      </c>
      <c r="P235" s="4" t="s">
        <v>255</v>
      </c>
      <c r="Q235" s="4" t="str">
        <f t="shared" si="25"/>
        <v>1-2-2-21-40-00-020</v>
      </c>
      <c r="R235" s="4" t="str">
        <f t="shared" si="22"/>
        <v>DIR. DE REL. INTERN. Y COOP. TEC.</v>
      </c>
    </row>
    <row r="236" spans="1:18" ht="23.25" x14ac:dyDescent="0.2">
      <c r="A236" s="1">
        <v>1</v>
      </c>
      <c r="B236" s="6" t="str">
        <f>VLOOKUP(A236,'ACTIVOS CODIGO'!A:B,2,0)</f>
        <v>ACTIVO</v>
      </c>
      <c r="C236" s="2">
        <v>2</v>
      </c>
      <c r="D236" s="7" t="str">
        <f>VLOOKUP(C236,'ACTIVOS CODIGO'!C:D,2,0)</f>
        <v>ACTIVO DE LA HACIENDA = ACTIVO NO CORRIENTE</v>
      </c>
      <c r="E236" s="3">
        <v>2</v>
      </c>
      <c r="F236" s="8" t="str">
        <f>VLOOKUP(E236,'ACTIVOS CODIGO'!E:F,2,0)</f>
        <v>ACTIVO EXIGIBLE</v>
      </c>
      <c r="G236" s="10">
        <v>214</v>
      </c>
      <c r="H236" s="10" t="str">
        <f>VLOOKUP(G236,'PUB 21'!$A$1:$B$29,2,0)</f>
        <v>BIENES  MUEBLES</v>
      </c>
      <c r="K236" s="18"/>
      <c r="L236" s="5"/>
      <c r="M236" s="27" t="str">
        <f t="shared" si="23"/>
        <v>1-2-2-21-40-00</v>
      </c>
      <c r="N236" s="27" t="str">
        <f t="shared" si="24"/>
        <v>BIENES  MUEBLES</v>
      </c>
      <c r="O236" s="4">
        <f t="shared" si="21"/>
        <v>21</v>
      </c>
      <c r="P236" s="4" t="s">
        <v>256</v>
      </c>
      <c r="Q236" s="4" t="str">
        <f t="shared" si="25"/>
        <v>1-2-2-21-40-00-021</v>
      </c>
      <c r="R236" s="4" t="str">
        <f t="shared" si="22"/>
        <v>OFICINA MUNIC. DE REG. CIVIL</v>
      </c>
    </row>
    <row r="237" spans="1:18" ht="23.25" x14ac:dyDescent="0.2">
      <c r="A237" s="1">
        <v>1</v>
      </c>
      <c r="B237" s="6" t="str">
        <f>VLOOKUP(A237,'ACTIVOS CODIGO'!A:B,2,0)</f>
        <v>ACTIVO</v>
      </c>
      <c r="C237" s="2">
        <v>2</v>
      </c>
      <c r="D237" s="7" t="str">
        <f>VLOOKUP(C237,'ACTIVOS CODIGO'!C:D,2,0)</f>
        <v>ACTIVO DE LA HACIENDA = ACTIVO NO CORRIENTE</v>
      </c>
      <c r="E237" s="3">
        <v>2</v>
      </c>
      <c r="F237" s="8" t="str">
        <f>VLOOKUP(E237,'ACTIVOS CODIGO'!E:F,2,0)</f>
        <v>ACTIVO EXIGIBLE</v>
      </c>
      <c r="G237" s="10">
        <v>214</v>
      </c>
      <c r="H237" s="10" t="str">
        <f>VLOOKUP(G237,'PUB 21'!$A$1:$B$29,2,0)</f>
        <v>BIENES  MUEBLES</v>
      </c>
      <c r="K237" s="18"/>
      <c r="L237" s="5"/>
      <c r="M237" s="27" t="str">
        <f t="shared" si="23"/>
        <v>1-2-2-21-40-00</v>
      </c>
      <c r="N237" s="27" t="str">
        <f t="shared" si="24"/>
        <v>BIENES  MUEBLES</v>
      </c>
      <c r="O237" s="4">
        <f t="shared" si="21"/>
        <v>22</v>
      </c>
      <c r="P237" s="4" t="s">
        <v>257</v>
      </c>
      <c r="Q237" s="4" t="str">
        <f t="shared" si="25"/>
        <v>1-2-2-21-40-00-022</v>
      </c>
      <c r="R237" s="4" t="str">
        <f t="shared" si="22"/>
        <v>UNIDAD DE REGISTRO CIVIL</v>
      </c>
    </row>
    <row r="238" spans="1:18" ht="23.25" x14ac:dyDescent="0.2">
      <c r="A238" s="1">
        <v>1</v>
      </c>
      <c r="B238" s="6" t="str">
        <f>VLOOKUP(A238,'ACTIVOS CODIGO'!A:B,2,0)</f>
        <v>ACTIVO</v>
      </c>
      <c r="C238" s="2">
        <v>2</v>
      </c>
      <c r="D238" s="7" t="str">
        <f>VLOOKUP(C238,'ACTIVOS CODIGO'!C:D,2,0)</f>
        <v>ACTIVO DE LA HACIENDA = ACTIVO NO CORRIENTE</v>
      </c>
      <c r="E238" s="3">
        <v>2</v>
      </c>
      <c r="F238" s="8" t="str">
        <f>VLOOKUP(E238,'ACTIVOS CODIGO'!E:F,2,0)</f>
        <v>ACTIVO EXIGIBLE</v>
      </c>
      <c r="G238" s="10">
        <v>214</v>
      </c>
      <c r="H238" s="10" t="str">
        <f>VLOOKUP(G238,'PUB 21'!$A$1:$B$29,2,0)</f>
        <v>BIENES  MUEBLES</v>
      </c>
      <c r="K238" s="18"/>
      <c r="L238" s="5"/>
      <c r="M238" s="27" t="str">
        <f t="shared" si="23"/>
        <v>1-2-2-21-40-00</v>
      </c>
      <c r="N238" s="27" t="str">
        <f t="shared" si="24"/>
        <v>BIENES  MUEBLES</v>
      </c>
      <c r="O238" s="4">
        <f t="shared" si="21"/>
        <v>23</v>
      </c>
      <c r="P238" s="4" t="s">
        <v>258</v>
      </c>
      <c r="Q238" s="4" t="str">
        <f t="shared" si="25"/>
        <v>1-2-2-21-40-00-023</v>
      </c>
      <c r="R238" s="4" t="str">
        <f t="shared" si="22"/>
        <v>UNIDAD SUBALT. REGIST. CIVIL</v>
      </c>
    </row>
    <row r="239" spans="1:18" ht="23.25" x14ac:dyDescent="0.2">
      <c r="A239" s="1">
        <v>1</v>
      </c>
      <c r="B239" s="6" t="str">
        <f>VLOOKUP(A239,'ACTIVOS CODIGO'!A:B,2,0)</f>
        <v>ACTIVO</v>
      </c>
      <c r="C239" s="2">
        <v>2</v>
      </c>
      <c r="D239" s="7" t="str">
        <f>VLOOKUP(C239,'ACTIVOS CODIGO'!C:D,2,0)</f>
        <v>ACTIVO DE LA HACIENDA = ACTIVO NO CORRIENTE</v>
      </c>
      <c r="E239" s="3">
        <v>2</v>
      </c>
      <c r="F239" s="8" t="str">
        <f>VLOOKUP(E239,'ACTIVOS CODIGO'!E:F,2,0)</f>
        <v>ACTIVO EXIGIBLE</v>
      </c>
      <c r="G239" s="10">
        <v>214</v>
      </c>
      <c r="H239" s="10" t="str">
        <f>VLOOKUP(G239,'PUB 21'!$A$1:$B$29,2,0)</f>
        <v>BIENES  MUEBLES</v>
      </c>
      <c r="K239" s="18"/>
      <c r="L239" s="5"/>
      <c r="M239" s="27" t="str">
        <f t="shared" si="23"/>
        <v>1-2-2-21-40-00</v>
      </c>
      <c r="N239" s="27" t="str">
        <f t="shared" si="24"/>
        <v>BIENES  MUEBLES</v>
      </c>
      <c r="O239" s="4">
        <f t="shared" si="21"/>
        <v>24</v>
      </c>
      <c r="P239" s="4" t="s">
        <v>259</v>
      </c>
      <c r="Q239" s="4" t="str">
        <f t="shared" si="25"/>
        <v>1-2-2-21-40-00-024</v>
      </c>
      <c r="R239" s="4" t="str">
        <f t="shared" si="22"/>
        <v>DIR. DEL CONSEJO PROT. AL NINO</v>
      </c>
    </row>
    <row r="240" spans="1:18" ht="23.25" x14ac:dyDescent="0.2">
      <c r="A240" s="1">
        <v>1</v>
      </c>
      <c r="B240" s="6" t="str">
        <f>VLOOKUP(A240,'ACTIVOS CODIGO'!A:B,2,0)</f>
        <v>ACTIVO</v>
      </c>
      <c r="C240" s="2">
        <v>2</v>
      </c>
      <c r="D240" s="7" t="str">
        <f>VLOOKUP(C240,'ACTIVOS CODIGO'!C:D,2,0)</f>
        <v>ACTIVO DE LA HACIENDA = ACTIVO NO CORRIENTE</v>
      </c>
      <c r="E240" s="3">
        <v>2</v>
      </c>
      <c r="F240" s="8" t="str">
        <f>VLOOKUP(E240,'ACTIVOS CODIGO'!E:F,2,0)</f>
        <v>ACTIVO EXIGIBLE</v>
      </c>
      <c r="G240" s="10">
        <v>214</v>
      </c>
      <c r="H240" s="10" t="str">
        <f>VLOOKUP(G240,'PUB 21'!$A$1:$B$29,2,0)</f>
        <v>BIENES  MUEBLES</v>
      </c>
      <c r="K240" s="18"/>
      <c r="L240" s="5"/>
      <c r="M240" s="27" t="str">
        <f t="shared" si="23"/>
        <v>1-2-2-21-40-00</v>
      </c>
      <c r="N240" s="27" t="str">
        <f t="shared" si="24"/>
        <v>BIENES  MUEBLES</v>
      </c>
      <c r="O240" s="4">
        <f t="shared" si="21"/>
        <v>25</v>
      </c>
      <c r="P240" s="4" t="s">
        <v>260</v>
      </c>
      <c r="Q240" s="4" t="str">
        <f t="shared" si="25"/>
        <v>1-2-2-21-40-00-025</v>
      </c>
      <c r="R240" s="4" t="str">
        <f t="shared" si="22"/>
        <v>COORD. ATENC. PROT. NINOS Y ADOLE</v>
      </c>
    </row>
    <row r="241" spans="1:18" ht="23.25" x14ac:dyDescent="0.2">
      <c r="A241" s="1">
        <v>1</v>
      </c>
      <c r="B241" s="6" t="str">
        <f>VLOOKUP(A241,'ACTIVOS CODIGO'!A:B,2,0)</f>
        <v>ACTIVO</v>
      </c>
      <c r="C241" s="2">
        <v>2</v>
      </c>
      <c r="D241" s="7" t="str">
        <f>VLOOKUP(C241,'ACTIVOS CODIGO'!C:D,2,0)</f>
        <v>ACTIVO DE LA HACIENDA = ACTIVO NO CORRIENTE</v>
      </c>
      <c r="E241" s="3">
        <v>2</v>
      </c>
      <c r="F241" s="8" t="str">
        <f>VLOOKUP(E241,'ACTIVOS CODIGO'!E:F,2,0)</f>
        <v>ACTIVO EXIGIBLE</v>
      </c>
      <c r="G241" s="10">
        <v>214</v>
      </c>
      <c r="H241" s="10" t="str">
        <f>VLOOKUP(G241,'PUB 21'!$A$1:$B$29,2,0)</f>
        <v>BIENES  MUEBLES</v>
      </c>
      <c r="K241" s="18"/>
      <c r="L241" s="5"/>
      <c r="M241" s="27" t="str">
        <f t="shared" si="23"/>
        <v>1-2-2-21-40-00</v>
      </c>
      <c r="N241" s="27" t="str">
        <f t="shared" si="24"/>
        <v>BIENES  MUEBLES</v>
      </c>
      <c r="O241" s="4">
        <f t="shared" si="21"/>
        <v>26</v>
      </c>
      <c r="P241" s="4" t="s">
        <v>261</v>
      </c>
      <c r="Q241" s="4" t="str">
        <f t="shared" si="25"/>
        <v>1-2-2-21-40-00-026</v>
      </c>
      <c r="R241" s="4" t="str">
        <f t="shared" si="22"/>
        <v>COORD. ATENC. ESTUD. PSICO-SOCIA</v>
      </c>
    </row>
    <row r="242" spans="1:18" ht="23.25" x14ac:dyDescent="0.2">
      <c r="A242" s="1">
        <v>1</v>
      </c>
      <c r="B242" s="6" t="str">
        <f>VLOOKUP(A242,'ACTIVOS CODIGO'!A:B,2,0)</f>
        <v>ACTIVO</v>
      </c>
      <c r="C242" s="2">
        <v>2</v>
      </c>
      <c r="D242" s="7" t="str">
        <f>VLOOKUP(C242,'ACTIVOS CODIGO'!C:D,2,0)</f>
        <v>ACTIVO DE LA HACIENDA = ACTIVO NO CORRIENTE</v>
      </c>
      <c r="E242" s="3">
        <v>2</v>
      </c>
      <c r="F242" s="8" t="str">
        <f>VLOOKUP(E242,'ACTIVOS CODIGO'!E:F,2,0)</f>
        <v>ACTIVO EXIGIBLE</v>
      </c>
      <c r="G242" s="10">
        <v>214</v>
      </c>
      <c r="H242" s="10" t="str">
        <f>VLOOKUP(G242,'PUB 21'!$A$1:$B$29,2,0)</f>
        <v>BIENES  MUEBLES</v>
      </c>
      <c r="K242" s="18"/>
      <c r="L242" s="5"/>
      <c r="M242" s="27" t="str">
        <f t="shared" si="23"/>
        <v>1-2-2-21-40-00</v>
      </c>
      <c r="N242" s="27" t="str">
        <f t="shared" si="24"/>
        <v>BIENES  MUEBLES</v>
      </c>
      <c r="O242" s="4">
        <f t="shared" si="21"/>
        <v>27</v>
      </c>
      <c r="P242" s="4" t="s">
        <v>262</v>
      </c>
      <c r="Q242" s="4" t="str">
        <f t="shared" si="25"/>
        <v>1-2-2-21-40-00-027</v>
      </c>
      <c r="R242" s="4" t="str">
        <f t="shared" si="22"/>
        <v>DIRECCION DE CONTROL INTERNO</v>
      </c>
    </row>
    <row r="243" spans="1:18" ht="23.25" x14ac:dyDescent="0.2">
      <c r="A243" s="1">
        <v>1</v>
      </c>
      <c r="B243" s="6" t="str">
        <f>VLOOKUP(A243,'ACTIVOS CODIGO'!A:B,2,0)</f>
        <v>ACTIVO</v>
      </c>
      <c r="C243" s="2">
        <v>2</v>
      </c>
      <c r="D243" s="7" t="str">
        <f>VLOOKUP(C243,'ACTIVOS CODIGO'!C:D,2,0)</f>
        <v>ACTIVO DE LA HACIENDA = ACTIVO NO CORRIENTE</v>
      </c>
      <c r="E243" s="3">
        <v>2</v>
      </c>
      <c r="F243" s="8" t="str">
        <f>VLOOKUP(E243,'ACTIVOS CODIGO'!E:F,2,0)</f>
        <v>ACTIVO EXIGIBLE</v>
      </c>
      <c r="G243" s="10">
        <v>214</v>
      </c>
      <c r="H243" s="10" t="str">
        <f>VLOOKUP(G243,'PUB 21'!$A$1:$B$29,2,0)</f>
        <v>BIENES  MUEBLES</v>
      </c>
      <c r="K243" s="18"/>
      <c r="L243" s="5"/>
      <c r="M243" s="27" t="str">
        <f t="shared" si="23"/>
        <v>1-2-2-21-40-00</v>
      </c>
      <c r="N243" s="27" t="str">
        <f t="shared" si="24"/>
        <v>BIENES  MUEBLES</v>
      </c>
      <c r="O243" s="4">
        <f t="shared" si="21"/>
        <v>28</v>
      </c>
      <c r="P243" s="4" t="s">
        <v>263</v>
      </c>
      <c r="Q243" s="4" t="str">
        <f t="shared" si="25"/>
        <v>1-2-2-21-40-00-028</v>
      </c>
      <c r="R243" s="4" t="str">
        <f t="shared" si="22"/>
        <v>UNIDAD DE CONTROL PREVIO</v>
      </c>
    </row>
    <row r="244" spans="1:18" ht="23.25" x14ac:dyDescent="0.2">
      <c r="A244" s="1">
        <v>1</v>
      </c>
      <c r="B244" s="6" t="str">
        <f>VLOOKUP(A244,'ACTIVOS CODIGO'!A:B,2,0)</f>
        <v>ACTIVO</v>
      </c>
      <c r="C244" s="2">
        <v>2</v>
      </c>
      <c r="D244" s="7" t="str">
        <f>VLOOKUP(C244,'ACTIVOS CODIGO'!C:D,2,0)</f>
        <v>ACTIVO DE LA HACIENDA = ACTIVO NO CORRIENTE</v>
      </c>
      <c r="E244" s="3">
        <v>2</v>
      </c>
      <c r="F244" s="8" t="str">
        <f>VLOOKUP(E244,'ACTIVOS CODIGO'!E:F,2,0)</f>
        <v>ACTIVO EXIGIBLE</v>
      </c>
      <c r="G244" s="10">
        <v>214</v>
      </c>
      <c r="H244" s="10" t="str">
        <f>VLOOKUP(G244,'PUB 21'!$A$1:$B$29,2,0)</f>
        <v>BIENES  MUEBLES</v>
      </c>
      <c r="K244" s="18"/>
      <c r="L244" s="5"/>
      <c r="M244" s="27" t="str">
        <f t="shared" si="23"/>
        <v>1-2-2-21-40-00</v>
      </c>
      <c r="N244" s="27" t="str">
        <f t="shared" si="24"/>
        <v>BIENES  MUEBLES</v>
      </c>
      <c r="O244" s="4">
        <f t="shared" si="21"/>
        <v>29</v>
      </c>
      <c r="P244" s="4" t="s">
        <v>264</v>
      </c>
      <c r="Q244" s="4" t="str">
        <f t="shared" si="25"/>
        <v>1-2-2-21-40-00-029</v>
      </c>
      <c r="R244" s="4" t="str">
        <f t="shared" si="22"/>
        <v>UNIDAD DE CONTROL POSTERIOR</v>
      </c>
    </row>
    <row r="245" spans="1:18" ht="23.25" x14ac:dyDescent="0.2">
      <c r="A245" s="1">
        <v>1</v>
      </c>
      <c r="B245" s="6" t="str">
        <f>VLOOKUP(A245,'ACTIVOS CODIGO'!A:B,2,0)</f>
        <v>ACTIVO</v>
      </c>
      <c r="C245" s="2">
        <v>2</v>
      </c>
      <c r="D245" s="7" t="str">
        <f>VLOOKUP(C245,'ACTIVOS CODIGO'!C:D,2,0)</f>
        <v>ACTIVO DE LA HACIENDA = ACTIVO NO CORRIENTE</v>
      </c>
      <c r="E245" s="3">
        <v>2</v>
      </c>
      <c r="F245" s="8" t="str">
        <f>VLOOKUP(E245,'ACTIVOS CODIGO'!E:F,2,0)</f>
        <v>ACTIVO EXIGIBLE</v>
      </c>
      <c r="G245" s="10">
        <v>214</v>
      </c>
      <c r="H245" s="10" t="str">
        <f>VLOOKUP(G245,'PUB 21'!$A$1:$B$29,2,0)</f>
        <v>BIENES  MUEBLES</v>
      </c>
      <c r="K245" s="18"/>
      <c r="L245" s="5"/>
      <c r="M245" s="27" t="str">
        <f t="shared" si="23"/>
        <v>1-2-2-21-40-00</v>
      </c>
      <c r="N245" s="27" t="str">
        <f t="shared" si="24"/>
        <v>BIENES  MUEBLES</v>
      </c>
      <c r="O245" s="4">
        <f t="shared" si="21"/>
        <v>30</v>
      </c>
      <c r="P245" s="4" t="s">
        <v>265</v>
      </c>
      <c r="Q245" s="4" t="str">
        <f t="shared" si="25"/>
        <v>1-2-2-21-40-00-030</v>
      </c>
      <c r="R245" s="4" t="str">
        <f t="shared" si="22"/>
        <v>UNIDAD DE INVEST. ADIMINISTRAT.</v>
      </c>
    </row>
    <row r="246" spans="1:18" ht="23.25" x14ac:dyDescent="0.2">
      <c r="A246" s="1">
        <v>1</v>
      </c>
      <c r="B246" s="6" t="str">
        <f>VLOOKUP(A246,'ACTIVOS CODIGO'!A:B,2,0)</f>
        <v>ACTIVO</v>
      </c>
      <c r="C246" s="2">
        <v>2</v>
      </c>
      <c r="D246" s="7" t="str">
        <f>VLOOKUP(C246,'ACTIVOS CODIGO'!C:D,2,0)</f>
        <v>ACTIVO DE LA HACIENDA = ACTIVO NO CORRIENTE</v>
      </c>
      <c r="E246" s="3">
        <v>2</v>
      </c>
      <c r="F246" s="8" t="str">
        <f>VLOOKUP(E246,'ACTIVOS CODIGO'!E:F,2,0)</f>
        <v>ACTIVO EXIGIBLE</v>
      </c>
      <c r="G246" s="10">
        <v>214</v>
      </c>
      <c r="H246" s="10" t="str">
        <f>VLOOKUP(G246,'PUB 21'!$A$1:$B$29,2,0)</f>
        <v>BIENES  MUEBLES</v>
      </c>
      <c r="K246" s="18"/>
      <c r="L246" s="5"/>
      <c r="M246" s="27" t="str">
        <f t="shared" si="23"/>
        <v>1-2-2-21-40-00</v>
      </c>
      <c r="N246" s="27" t="str">
        <f t="shared" si="24"/>
        <v>BIENES  MUEBLES</v>
      </c>
      <c r="O246" s="4">
        <f t="shared" si="21"/>
        <v>31</v>
      </c>
      <c r="P246" s="4" t="s">
        <v>266</v>
      </c>
      <c r="Q246" s="4" t="str">
        <f t="shared" si="25"/>
        <v>1-2-2-21-40-00-031</v>
      </c>
      <c r="R246" s="4" t="str">
        <f t="shared" si="22"/>
        <v>GESTION GRAL. DE ADMINISTRACION</v>
      </c>
    </row>
    <row r="247" spans="1:18" ht="23.25" x14ac:dyDescent="0.2">
      <c r="A247" s="1">
        <v>1</v>
      </c>
      <c r="B247" s="6" t="str">
        <f>VLOOKUP(A247,'ACTIVOS CODIGO'!A:B,2,0)</f>
        <v>ACTIVO</v>
      </c>
      <c r="C247" s="2">
        <v>2</v>
      </c>
      <c r="D247" s="7" t="str">
        <f>VLOOKUP(C247,'ACTIVOS CODIGO'!C:D,2,0)</f>
        <v>ACTIVO DE LA HACIENDA = ACTIVO NO CORRIENTE</v>
      </c>
      <c r="E247" s="3">
        <v>2</v>
      </c>
      <c r="F247" s="8" t="str">
        <f>VLOOKUP(E247,'ACTIVOS CODIGO'!E:F,2,0)</f>
        <v>ACTIVO EXIGIBLE</v>
      </c>
      <c r="G247" s="10">
        <v>214</v>
      </c>
      <c r="H247" s="10" t="str">
        <f>VLOOKUP(G247,'PUB 21'!$A$1:$B$29,2,0)</f>
        <v>BIENES  MUEBLES</v>
      </c>
      <c r="K247" s="18"/>
      <c r="L247" s="5"/>
      <c r="M247" s="27" t="str">
        <f t="shared" si="23"/>
        <v>1-2-2-21-40-00</v>
      </c>
      <c r="N247" s="27" t="str">
        <f t="shared" si="24"/>
        <v>BIENES  MUEBLES</v>
      </c>
      <c r="O247" s="4">
        <f t="shared" si="21"/>
        <v>32</v>
      </c>
      <c r="P247" s="4" t="s">
        <v>267</v>
      </c>
      <c r="Q247" s="4" t="str">
        <f t="shared" si="25"/>
        <v>1-2-2-21-40-00-032</v>
      </c>
      <c r="R247" s="4" t="str">
        <f t="shared" si="22"/>
        <v>DIRECCION DE SERVICIOS GENERALES</v>
      </c>
    </row>
    <row r="248" spans="1:18" ht="23.25" x14ac:dyDescent="0.2">
      <c r="A248" s="1">
        <v>1</v>
      </c>
      <c r="B248" s="6" t="str">
        <f>VLOOKUP(A248,'ACTIVOS CODIGO'!A:B,2,0)</f>
        <v>ACTIVO</v>
      </c>
      <c r="C248" s="2">
        <v>2</v>
      </c>
      <c r="D248" s="7" t="str">
        <f>VLOOKUP(C248,'ACTIVOS CODIGO'!C:D,2,0)</f>
        <v>ACTIVO DE LA HACIENDA = ACTIVO NO CORRIENTE</v>
      </c>
      <c r="E248" s="3">
        <v>2</v>
      </c>
      <c r="F248" s="8" t="str">
        <f>VLOOKUP(E248,'ACTIVOS CODIGO'!E:F,2,0)</f>
        <v>ACTIVO EXIGIBLE</v>
      </c>
      <c r="G248" s="10">
        <v>214</v>
      </c>
      <c r="H248" s="10" t="str">
        <f>VLOOKUP(G248,'PUB 21'!$A$1:$B$29,2,0)</f>
        <v>BIENES  MUEBLES</v>
      </c>
      <c r="K248" s="18"/>
      <c r="L248" s="5"/>
      <c r="M248" s="27" t="str">
        <f t="shared" si="23"/>
        <v>1-2-2-21-40-00</v>
      </c>
      <c r="N248" s="27" t="str">
        <f t="shared" si="24"/>
        <v>BIENES  MUEBLES</v>
      </c>
      <c r="O248" s="4">
        <f t="shared" si="21"/>
        <v>33</v>
      </c>
      <c r="P248" s="4" t="s">
        <v>268</v>
      </c>
      <c r="Q248" s="4" t="str">
        <f t="shared" si="25"/>
        <v>1-2-2-21-40-00-033</v>
      </c>
      <c r="R248" s="4" t="str">
        <f t="shared" si="22"/>
        <v>UNIDAD TECNICA GESTION INVERSI</v>
      </c>
    </row>
    <row r="249" spans="1:18" ht="23.25" x14ac:dyDescent="0.2">
      <c r="A249" s="1">
        <v>1</v>
      </c>
      <c r="B249" s="6" t="str">
        <f>VLOOKUP(A249,'ACTIVOS CODIGO'!A:B,2,0)</f>
        <v>ACTIVO</v>
      </c>
      <c r="C249" s="2">
        <v>2</v>
      </c>
      <c r="D249" s="7" t="str">
        <f>VLOOKUP(C249,'ACTIVOS CODIGO'!C:D,2,0)</f>
        <v>ACTIVO DE LA HACIENDA = ACTIVO NO CORRIENTE</v>
      </c>
      <c r="E249" s="3">
        <v>2</v>
      </c>
      <c r="F249" s="8" t="str">
        <f>VLOOKUP(E249,'ACTIVOS CODIGO'!E:F,2,0)</f>
        <v>ACTIVO EXIGIBLE</v>
      </c>
      <c r="G249" s="10">
        <v>214</v>
      </c>
      <c r="H249" s="10" t="str">
        <f>VLOOKUP(G249,'PUB 21'!$A$1:$B$29,2,0)</f>
        <v>BIENES  MUEBLES</v>
      </c>
      <c r="K249" s="18"/>
      <c r="L249" s="5"/>
      <c r="M249" s="27" t="str">
        <f t="shared" si="23"/>
        <v>1-2-2-21-40-00</v>
      </c>
      <c r="N249" s="27" t="str">
        <f t="shared" si="24"/>
        <v>BIENES  MUEBLES</v>
      </c>
      <c r="O249" s="4">
        <f t="shared" si="21"/>
        <v>34</v>
      </c>
      <c r="P249" s="4" t="s">
        <v>269</v>
      </c>
      <c r="Q249" s="4" t="str">
        <f t="shared" si="25"/>
        <v>1-2-2-21-40-00-034</v>
      </c>
      <c r="R249" s="4" t="str">
        <f t="shared" si="22"/>
        <v>COORDINAC. DE APOYO ADMINIST.</v>
      </c>
    </row>
    <row r="250" spans="1:18" ht="23.25" x14ac:dyDescent="0.2">
      <c r="A250" s="1">
        <v>1</v>
      </c>
      <c r="B250" s="6" t="str">
        <f>VLOOKUP(A250,'ACTIVOS CODIGO'!A:B,2,0)</f>
        <v>ACTIVO</v>
      </c>
      <c r="C250" s="2">
        <v>2</v>
      </c>
      <c r="D250" s="7" t="str">
        <f>VLOOKUP(C250,'ACTIVOS CODIGO'!C:D,2,0)</f>
        <v>ACTIVO DE LA HACIENDA = ACTIVO NO CORRIENTE</v>
      </c>
      <c r="E250" s="3">
        <v>2</v>
      </c>
      <c r="F250" s="8" t="str">
        <f>VLOOKUP(E250,'ACTIVOS CODIGO'!E:F,2,0)</f>
        <v>ACTIVO EXIGIBLE</v>
      </c>
      <c r="G250" s="10">
        <v>214</v>
      </c>
      <c r="H250" s="10" t="str">
        <f>VLOOKUP(G250,'PUB 21'!$A$1:$B$29,2,0)</f>
        <v>BIENES  MUEBLES</v>
      </c>
      <c r="K250" s="18"/>
      <c r="L250" s="5"/>
      <c r="M250" s="27" t="str">
        <f t="shared" si="23"/>
        <v>1-2-2-21-40-00</v>
      </c>
      <c r="N250" s="27" t="str">
        <f t="shared" si="24"/>
        <v>BIENES  MUEBLES</v>
      </c>
      <c r="O250" s="4">
        <f t="shared" si="21"/>
        <v>35</v>
      </c>
      <c r="P250" s="4" t="s">
        <v>270</v>
      </c>
      <c r="Q250" s="4" t="str">
        <f t="shared" si="25"/>
        <v>1-2-2-21-40-00-035</v>
      </c>
      <c r="R250" s="4" t="str">
        <f t="shared" si="22"/>
        <v>COORD. DE SERVICIOS BASICOS</v>
      </c>
    </row>
    <row r="251" spans="1:18" ht="23.25" x14ac:dyDescent="0.2">
      <c r="A251" s="1">
        <v>1</v>
      </c>
      <c r="B251" s="6" t="str">
        <f>VLOOKUP(A251,'ACTIVOS CODIGO'!A:B,2,0)</f>
        <v>ACTIVO</v>
      </c>
      <c r="C251" s="2">
        <v>2</v>
      </c>
      <c r="D251" s="7" t="str">
        <f>VLOOKUP(C251,'ACTIVOS CODIGO'!C:D,2,0)</f>
        <v>ACTIVO DE LA HACIENDA = ACTIVO NO CORRIENTE</v>
      </c>
      <c r="E251" s="3">
        <v>2</v>
      </c>
      <c r="F251" s="8" t="str">
        <f>VLOOKUP(E251,'ACTIVOS CODIGO'!E:F,2,0)</f>
        <v>ACTIVO EXIGIBLE</v>
      </c>
      <c r="G251" s="10">
        <v>214</v>
      </c>
      <c r="H251" s="10" t="str">
        <f>VLOOKUP(G251,'PUB 21'!$A$1:$B$29,2,0)</f>
        <v>BIENES  MUEBLES</v>
      </c>
      <c r="K251" s="18"/>
      <c r="L251" s="5"/>
      <c r="M251" s="27" t="str">
        <f t="shared" si="23"/>
        <v>1-2-2-21-40-00</v>
      </c>
      <c r="N251" s="27" t="str">
        <f t="shared" si="24"/>
        <v>BIENES  MUEBLES</v>
      </c>
      <c r="O251" s="4">
        <f t="shared" si="21"/>
        <v>36</v>
      </c>
      <c r="P251" s="4" t="s">
        <v>271</v>
      </c>
      <c r="Q251" s="4" t="str">
        <f t="shared" si="25"/>
        <v>1-2-2-21-40-00-036</v>
      </c>
      <c r="R251" s="4" t="str">
        <f t="shared" si="22"/>
        <v>COORDINACION DE TRANSPORTE</v>
      </c>
    </row>
    <row r="252" spans="1:18" ht="23.25" x14ac:dyDescent="0.2">
      <c r="A252" s="1">
        <v>1</v>
      </c>
      <c r="B252" s="6" t="str">
        <f>VLOOKUP(A252,'ACTIVOS CODIGO'!A:B,2,0)</f>
        <v>ACTIVO</v>
      </c>
      <c r="C252" s="2">
        <v>2</v>
      </c>
      <c r="D252" s="7" t="str">
        <f>VLOOKUP(C252,'ACTIVOS CODIGO'!C:D,2,0)</f>
        <v>ACTIVO DE LA HACIENDA = ACTIVO NO CORRIENTE</v>
      </c>
      <c r="E252" s="3">
        <v>2</v>
      </c>
      <c r="F252" s="8" t="str">
        <f>VLOOKUP(E252,'ACTIVOS CODIGO'!E:F,2,0)</f>
        <v>ACTIVO EXIGIBLE</v>
      </c>
      <c r="G252" s="10">
        <v>214</v>
      </c>
      <c r="H252" s="10" t="str">
        <f>VLOOKUP(G252,'PUB 21'!$A$1:$B$29,2,0)</f>
        <v>BIENES  MUEBLES</v>
      </c>
      <c r="K252" s="18"/>
      <c r="L252" s="5"/>
      <c r="M252" s="27" t="str">
        <f t="shared" si="23"/>
        <v>1-2-2-21-40-00</v>
      </c>
      <c r="N252" s="27" t="str">
        <f t="shared" si="24"/>
        <v>BIENES  MUEBLES</v>
      </c>
      <c r="O252" s="4">
        <f t="shared" si="21"/>
        <v>37</v>
      </c>
      <c r="P252" s="4" t="s">
        <v>272</v>
      </c>
      <c r="Q252" s="4" t="str">
        <f t="shared" si="25"/>
        <v>1-2-2-21-40-00-037</v>
      </c>
      <c r="R252" s="4" t="str">
        <f t="shared" si="22"/>
        <v>COORDINACION DE MANTENIMIENTO</v>
      </c>
    </row>
    <row r="253" spans="1:18" ht="23.25" x14ac:dyDescent="0.2">
      <c r="A253" s="1">
        <v>1</v>
      </c>
      <c r="B253" s="6" t="str">
        <f>VLOOKUP(A253,'ACTIVOS CODIGO'!A:B,2,0)</f>
        <v>ACTIVO</v>
      </c>
      <c r="C253" s="2">
        <v>2</v>
      </c>
      <c r="D253" s="7" t="str">
        <f>VLOOKUP(C253,'ACTIVOS CODIGO'!C:D,2,0)</f>
        <v>ACTIVO DE LA HACIENDA = ACTIVO NO CORRIENTE</v>
      </c>
      <c r="E253" s="3">
        <v>2</v>
      </c>
      <c r="F253" s="8" t="str">
        <f>VLOOKUP(E253,'ACTIVOS CODIGO'!E:F,2,0)</f>
        <v>ACTIVO EXIGIBLE</v>
      </c>
      <c r="G253" s="10">
        <v>214</v>
      </c>
      <c r="H253" s="10" t="str">
        <f>VLOOKUP(G253,'PUB 21'!$A$1:$B$29,2,0)</f>
        <v>BIENES  MUEBLES</v>
      </c>
      <c r="K253" s="18"/>
      <c r="L253" s="5"/>
      <c r="M253" s="27" t="str">
        <f t="shared" si="23"/>
        <v>1-2-2-21-40-00</v>
      </c>
      <c r="N253" s="27" t="str">
        <f t="shared" si="24"/>
        <v>BIENES  MUEBLES</v>
      </c>
      <c r="O253" s="4">
        <f t="shared" si="21"/>
        <v>38</v>
      </c>
      <c r="P253" s="4" t="s">
        <v>273</v>
      </c>
      <c r="Q253" s="4" t="str">
        <f t="shared" si="25"/>
        <v>1-2-2-21-40-00-038</v>
      </c>
      <c r="R253" s="4" t="str">
        <f t="shared" si="22"/>
        <v>COORD. SEGUR, VIGILANC. TRANSP</v>
      </c>
    </row>
    <row r="254" spans="1:18" ht="23.25" x14ac:dyDescent="0.2">
      <c r="A254" s="1">
        <v>1</v>
      </c>
      <c r="B254" s="6" t="str">
        <f>VLOOKUP(A254,'ACTIVOS CODIGO'!A:B,2,0)</f>
        <v>ACTIVO</v>
      </c>
      <c r="C254" s="2">
        <v>2</v>
      </c>
      <c r="D254" s="7" t="str">
        <f>VLOOKUP(C254,'ACTIVOS CODIGO'!C:D,2,0)</f>
        <v>ACTIVO DE LA HACIENDA = ACTIVO NO CORRIENTE</v>
      </c>
      <c r="E254" s="3">
        <v>2</v>
      </c>
      <c r="F254" s="8" t="str">
        <f>VLOOKUP(E254,'ACTIVOS CODIGO'!E:F,2,0)</f>
        <v>ACTIVO EXIGIBLE</v>
      </c>
      <c r="G254" s="10">
        <v>214</v>
      </c>
      <c r="H254" s="10" t="str">
        <f>VLOOKUP(G254,'PUB 21'!$A$1:$B$29,2,0)</f>
        <v>BIENES  MUEBLES</v>
      </c>
      <c r="K254" s="18"/>
      <c r="L254" s="5"/>
      <c r="M254" s="27" t="str">
        <f t="shared" si="23"/>
        <v>1-2-2-21-40-00</v>
      </c>
      <c r="N254" s="27" t="str">
        <f t="shared" si="24"/>
        <v>BIENES  MUEBLES</v>
      </c>
      <c r="O254" s="4">
        <f t="shared" si="21"/>
        <v>39</v>
      </c>
      <c r="P254" s="4" t="s">
        <v>274</v>
      </c>
      <c r="Q254" s="4" t="str">
        <f t="shared" si="25"/>
        <v>1-2-2-21-40-00-039</v>
      </c>
      <c r="R254" s="4" t="str">
        <f t="shared" si="22"/>
        <v>DIREC. DE PLANIF. Y PRESUP.</v>
      </c>
    </row>
    <row r="255" spans="1:18" ht="23.25" x14ac:dyDescent="0.2">
      <c r="A255" s="1">
        <v>1</v>
      </c>
      <c r="B255" s="6" t="str">
        <f>VLOOKUP(A255,'ACTIVOS CODIGO'!A:B,2,0)</f>
        <v>ACTIVO</v>
      </c>
      <c r="C255" s="2">
        <v>2</v>
      </c>
      <c r="D255" s="7" t="str">
        <f>VLOOKUP(C255,'ACTIVOS CODIGO'!C:D,2,0)</f>
        <v>ACTIVO DE LA HACIENDA = ACTIVO NO CORRIENTE</v>
      </c>
      <c r="E255" s="3">
        <v>2</v>
      </c>
      <c r="F255" s="8" t="str">
        <f>VLOOKUP(E255,'ACTIVOS CODIGO'!E:F,2,0)</f>
        <v>ACTIVO EXIGIBLE</v>
      </c>
      <c r="G255" s="10">
        <v>214</v>
      </c>
      <c r="H255" s="10" t="str">
        <f>VLOOKUP(G255,'PUB 21'!$A$1:$B$29,2,0)</f>
        <v>BIENES  MUEBLES</v>
      </c>
      <c r="K255" s="18"/>
      <c r="L255" s="5"/>
      <c r="M255" s="27" t="str">
        <f t="shared" si="23"/>
        <v>1-2-2-21-40-00</v>
      </c>
      <c r="N255" s="27" t="str">
        <f t="shared" si="24"/>
        <v>BIENES  MUEBLES</v>
      </c>
      <c r="O255" s="4">
        <f t="shared" si="21"/>
        <v>40</v>
      </c>
      <c r="P255" s="4" t="s">
        <v>275</v>
      </c>
      <c r="Q255" s="4" t="str">
        <f t="shared" si="25"/>
        <v>1-2-2-21-40-00-040</v>
      </c>
      <c r="R255" s="4" t="str">
        <f t="shared" si="22"/>
        <v>COORD. DE INFORMACION MCPAL</v>
      </c>
    </row>
    <row r="256" spans="1:18" ht="23.25" x14ac:dyDescent="0.2">
      <c r="A256" s="1">
        <v>1</v>
      </c>
      <c r="B256" s="6" t="str">
        <f>VLOOKUP(A256,'ACTIVOS CODIGO'!A:B,2,0)</f>
        <v>ACTIVO</v>
      </c>
      <c r="C256" s="2">
        <v>2</v>
      </c>
      <c r="D256" s="7" t="str">
        <f>VLOOKUP(C256,'ACTIVOS CODIGO'!C:D,2,0)</f>
        <v>ACTIVO DE LA HACIENDA = ACTIVO NO CORRIENTE</v>
      </c>
      <c r="E256" s="3">
        <v>2</v>
      </c>
      <c r="F256" s="8" t="str">
        <f>VLOOKUP(E256,'ACTIVOS CODIGO'!E:F,2,0)</f>
        <v>ACTIVO EXIGIBLE</v>
      </c>
      <c r="G256" s="10">
        <v>214</v>
      </c>
      <c r="H256" s="10" t="str">
        <f>VLOOKUP(G256,'PUB 21'!$A$1:$B$29,2,0)</f>
        <v>BIENES  MUEBLES</v>
      </c>
      <c r="K256" s="18"/>
      <c r="L256" s="5"/>
      <c r="M256" s="27" t="str">
        <f t="shared" si="23"/>
        <v>1-2-2-21-40-00</v>
      </c>
      <c r="N256" s="27" t="str">
        <f t="shared" si="24"/>
        <v>BIENES  MUEBLES</v>
      </c>
      <c r="O256" s="4">
        <f t="shared" si="21"/>
        <v>41</v>
      </c>
      <c r="P256" s="4" t="s">
        <v>276</v>
      </c>
      <c r="Q256" s="4" t="str">
        <f t="shared" si="25"/>
        <v>1-2-2-21-40-00-041</v>
      </c>
      <c r="R256" s="4" t="str">
        <f t="shared" si="22"/>
        <v>COORD. DE APOYO ADMINISTRATIVO</v>
      </c>
    </row>
    <row r="257" spans="1:18" ht="23.25" x14ac:dyDescent="0.2">
      <c r="A257" s="1">
        <v>1</v>
      </c>
      <c r="B257" s="6" t="str">
        <f>VLOOKUP(A257,'ACTIVOS CODIGO'!A:B,2,0)</f>
        <v>ACTIVO</v>
      </c>
      <c r="C257" s="2">
        <v>2</v>
      </c>
      <c r="D257" s="7" t="str">
        <f>VLOOKUP(C257,'ACTIVOS CODIGO'!C:D,2,0)</f>
        <v>ACTIVO DE LA HACIENDA = ACTIVO NO CORRIENTE</v>
      </c>
      <c r="E257" s="3">
        <v>2</v>
      </c>
      <c r="F257" s="8" t="str">
        <f>VLOOKUP(E257,'ACTIVOS CODIGO'!E:F,2,0)</f>
        <v>ACTIVO EXIGIBLE</v>
      </c>
      <c r="G257" s="10">
        <v>214</v>
      </c>
      <c r="H257" s="10" t="str">
        <f>VLOOKUP(G257,'PUB 21'!$A$1:$B$29,2,0)</f>
        <v>BIENES  MUEBLES</v>
      </c>
      <c r="K257" s="18"/>
      <c r="L257" s="5"/>
      <c r="M257" s="27" t="str">
        <f t="shared" si="23"/>
        <v>1-2-2-21-40-00</v>
      </c>
      <c r="N257" s="27" t="str">
        <f t="shared" si="24"/>
        <v>BIENES  MUEBLES</v>
      </c>
      <c r="O257" s="4">
        <f t="shared" si="21"/>
        <v>42</v>
      </c>
      <c r="P257" s="4" t="s">
        <v>277</v>
      </c>
      <c r="Q257" s="4" t="str">
        <f t="shared" si="25"/>
        <v>1-2-2-21-40-00-042</v>
      </c>
      <c r="R257" s="4" t="str">
        <f t="shared" si="22"/>
        <v>UNID. DE PLANIF. Y ORGANIZAC.</v>
      </c>
    </row>
    <row r="258" spans="1:18" ht="23.25" x14ac:dyDescent="0.2">
      <c r="A258" s="1">
        <v>1</v>
      </c>
      <c r="B258" s="6" t="str">
        <f>VLOOKUP(A258,'ACTIVOS CODIGO'!A:B,2,0)</f>
        <v>ACTIVO</v>
      </c>
      <c r="C258" s="2">
        <v>2</v>
      </c>
      <c r="D258" s="7" t="str">
        <f>VLOOKUP(C258,'ACTIVOS CODIGO'!C:D,2,0)</f>
        <v>ACTIVO DE LA HACIENDA = ACTIVO NO CORRIENTE</v>
      </c>
      <c r="E258" s="3">
        <v>2</v>
      </c>
      <c r="F258" s="8" t="str">
        <f>VLOOKUP(E258,'ACTIVOS CODIGO'!E:F,2,0)</f>
        <v>ACTIVO EXIGIBLE</v>
      </c>
      <c r="G258" s="10">
        <v>214</v>
      </c>
      <c r="H258" s="10" t="str">
        <f>VLOOKUP(G258,'PUB 21'!$A$1:$B$29,2,0)</f>
        <v>BIENES  MUEBLES</v>
      </c>
      <c r="K258" s="18"/>
      <c r="L258" s="5"/>
      <c r="M258" s="27" t="str">
        <f t="shared" si="23"/>
        <v>1-2-2-21-40-00</v>
      </c>
      <c r="N258" s="27" t="str">
        <f t="shared" si="24"/>
        <v>BIENES  MUEBLES</v>
      </c>
      <c r="O258" s="4">
        <f t="shared" si="21"/>
        <v>43</v>
      </c>
      <c r="P258" s="4" t="s">
        <v>278</v>
      </c>
      <c r="Q258" s="4" t="str">
        <f t="shared" si="25"/>
        <v>1-2-2-21-40-00-043</v>
      </c>
      <c r="R258" s="4" t="str">
        <f t="shared" si="22"/>
        <v>COORD. DE ORGANIZAC. INSTITUC.</v>
      </c>
    </row>
    <row r="259" spans="1:18" ht="23.25" x14ac:dyDescent="0.2">
      <c r="A259" s="1">
        <v>1</v>
      </c>
      <c r="B259" s="6" t="str">
        <f>VLOOKUP(A259,'ACTIVOS CODIGO'!A:B,2,0)</f>
        <v>ACTIVO</v>
      </c>
      <c r="C259" s="2">
        <v>2</v>
      </c>
      <c r="D259" s="7" t="str">
        <f>VLOOKUP(C259,'ACTIVOS CODIGO'!C:D,2,0)</f>
        <v>ACTIVO DE LA HACIENDA = ACTIVO NO CORRIENTE</v>
      </c>
      <c r="E259" s="3">
        <v>2</v>
      </c>
      <c r="F259" s="8" t="str">
        <f>VLOOKUP(E259,'ACTIVOS CODIGO'!E:F,2,0)</f>
        <v>ACTIVO EXIGIBLE</v>
      </c>
      <c r="G259" s="10">
        <v>214</v>
      </c>
      <c r="H259" s="10" t="str">
        <f>VLOOKUP(G259,'PUB 21'!$A$1:$B$29,2,0)</f>
        <v>BIENES  MUEBLES</v>
      </c>
      <c r="K259" s="18"/>
      <c r="L259" s="5"/>
      <c r="M259" s="27" t="str">
        <f t="shared" ref="M259:M315" si="26">CONCATENATE(TEXT(A259,"0"),"-",TEXT(C259,"0"),"-",TEXT(E259,"0"),"-",TEXT(LEFT(G259,2),"00"),"-",TEXT(RIGHT(G259,1),"0"),TEXT(I259,"0"),"-",TEXT(K259,"00"))</f>
        <v>1-2-2-21-40-00</v>
      </c>
      <c r="N259" s="27" t="str">
        <f t="shared" ref="N259:N315" si="27">IF(L259="",IF(J259="",IF(H259="",IF(F259="",IF(D259="",B259,D259),F259),H259),J259),L259)</f>
        <v>BIENES  MUEBLES</v>
      </c>
      <c r="O259" s="4">
        <f t="shared" si="21"/>
        <v>44</v>
      </c>
      <c r="P259" s="4" t="s">
        <v>279</v>
      </c>
      <c r="Q259" s="4" t="str">
        <f t="shared" si="25"/>
        <v>1-2-2-21-40-00-044</v>
      </c>
      <c r="R259" s="4" t="str">
        <f t="shared" si="22"/>
        <v>COORD. DE PLANIFICACION</v>
      </c>
    </row>
    <row r="260" spans="1:18" ht="23.25" x14ac:dyDescent="0.2">
      <c r="A260" s="1">
        <v>1</v>
      </c>
      <c r="B260" s="6" t="str">
        <f>VLOOKUP(A260,'ACTIVOS CODIGO'!A:B,2,0)</f>
        <v>ACTIVO</v>
      </c>
      <c r="C260" s="2">
        <v>2</v>
      </c>
      <c r="D260" s="7" t="str">
        <f>VLOOKUP(C260,'ACTIVOS CODIGO'!C:D,2,0)</f>
        <v>ACTIVO DE LA HACIENDA = ACTIVO NO CORRIENTE</v>
      </c>
      <c r="E260" s="3">
        <v>2</v>
      </c>
      <c r="F260" s="8" t="str">
        <f>VLOOKUP(E260,'ACTIVOS CODIGO'!E:F,2,0)</f>
        <v>ACTIVO EXIGIBLE</v>
      </c>
      <c r="G260" s="10">
        <v>214</v>
      </c>
      <c r="H260" s="10" t="str">
        <f>VLOOKUP(G260,'PUB 21'!$A$1:$B$29,2,0)</f>
        <v>BIENES  MUEBLES</v>
      </c>
      <c r="K260" s="18"/>
      <c r="L260" s="5"/>
      <c r="M260" s="27" t="str">
        <f t="shared" si="26"/>
        <v>1-2-2-21-40-00</v>
      </c>
      <c r="N260" s="27" t="str">
        <f t="shared" si="27"/>
        <v>BIENES  MUEBLES</v>
      </c>
      <c r="O260" s="4">
        <f t="shared" ref="O260:O323" si="28">IF(P260="",0,IF(M259=M260,IF(O259="",0,O259)+1,""))</f>
        <v>45</v>
      </c>
      <c r="P260" s="4" t="s">
        <v>280</v>
      </c>
      <c r="Q260" s="4" t="str">
        <f t="shared" si="25"/>
        <v>1-2-2-21-40-00-045</v>
      </c>
      <c r="R260" s="4" t="str">
        <f t="shared" ref="R260:R323" si="29">IF(P260="",IF(L260="",IF(J260="",IF(H260="",IF(F260="",IF(D260="",B260,D260),F260),H260),J260),L260),P260)</f>
        <v>UNID. DE PROGRAMAC. Y PRESUP.</v>
      </c>
    </row>
    <row r="261" spans="1:18" ht="23.25" x14ac:dyDescent="0.2">
      <c r="A261" s="1">
        <v>1</v>
      </c>
      <c r="B261" s="6" t="str">
        <f>VLOOKUP(A261,'ACTIVOS CODIGO'!A:B,2,0)</f>
        <v>ACTIVO</v>
      </c>
      <c r="C261" s="2">
        <v>2</v>
      </c>
      <c r="D261" s="7" t="str">
        <f>VLOOKUP(C261,'ACTIVOS CODIGO'!C:D,2,0)</f>
        <v>ACTIVO DE LA HACIENDA = ACTIVO NO CORRIENTE</v>
      </c>
      <c r="E261" s="3">
        <v>2</v>
      </c>
      <c r="F261" s="8" t="str">
        <f>VLOOKUP(E261,'ACTIVOS CODIGO'!E:F,2,0)</f>
        <v>ACTIVO EXIGIBLE</v>
      </c>
      <c r="G261" s="10">
        <v>214</v>
      </c>
      <c r="H261" s="10" t="str">
        <f>VLOOKUP(G261,'PUB 21'!$A$1:$B$29,2,0)</f>
        <v>BIENES  MUEBLES</v>
      </c>
      <c r="K261" s="18"/>
      <c r="L261" s="5"/>
      <c r="M261" s="27" t="str">
        <f t="shared" si="26"/>
        <v>1-2-2-21-40-00</v>
      </c>
      <c r="N261" s="27" t="str">
        <f t="shared" si="27"/>
        <v>BIENES  MUEBLES</v>
      </c>
      <c r="O261" s="4">
        <f t="shared" si="28"/>
        <v>46</v>
      </c>
      <c r="P261" s="4" t="s">
        <v>281</v>
      </c>
      <c r="Q261" s="4" t="str">
        <f t="shared" ref="Q261:Q324" si="30">CONCATENATE(TEXT(A261,"0"),"-",TEXT(C261,"0"),"-",TEXT(E261,"0"),"-",TEXT(LEFT(G261,2),"00"),"-",TEXT(RIGHT(G261,1),"0"),TEXT(I261,"0"),"-",TEXT(K261,"00"),"-",TEXT(O261,"000"))</f>
        <v>1-2-2-21-40-00-046</v>
      </c>
      <c r="R261" s="4" t="str">
        <f t="shared" si="29"/>
        <v>COORD. CONTROL Y EVALUC. PRESUP</v>
      </c>
    </row>
    <row r="262" spans="1:18" ht="23.25" x14ac:dyDescent="0.2">
      <c r="A262" s="1">
        <v>1</v>
      </c>
      <c r="B262" s="6" t="str">
        <f>VLOOKUP(A262,'ACTIVOS CODIGO'!A:B,2,0)</f>
        <v>ACTIVO</v>
      </c>
      <c r="C262" s="2">
        <v>2</v>
      </c>
      <c r="D262" s="7" t="str">
        <f>VLOOKUP(C262,'ACTIVOS CODIGO'!C:D,2,0)</f>
        <v>ACTIVO DE LA HACIENDA = ACTIVO NO CORRIENTE</v>
      </c>
      <c r="E262" s="3">
        <v>2</v>
      </c>
      <c r="F262" s="8" t="str">
        <f>VLOOKUP(E262,'ACTIVOS CODIGO'!E:F,2,0)</f>
        <v>ACTIVO EXIGIBLE</v>
      </c>
      <c r="G262" s="10">
        <v>214</v>
      </c>
      <c r="H262" s="10" t="str">
        <f>VLOOKUP(G262,'PUB 21'!$A$1:$B$29,2,0)</f>
        <v>BIENES  MUEBLES</v>
      </c>
      <c r="K262" s="18"/>
      <c r="L262" s="5"/>
      <c r="M262" s="27" t="str">
        <f t="shared" si="26"/>
        <v>1-2-2-21-40-00</v>
      </c>
      <c r="N262" s="27" t="str">
        <f t="shared" si="27"/>
        <v>BIENES  MUEBLES</v>
      </c>
      <c r="O262" s="4">
        <f t="shared" si="28"/>
        <v>47</v>
      </c>
      <c r="P262" s="4" t="s">
        <v>282</v>
      </c>
      <c r="Q262" s="4" t="str">
        <f t="shared" si="30"/>
        <v>1-2-2-21-40-00-047</v>
      </c>
      <c r="R262" s="4" t="str">
        <f t="shared" si="29"/>
        <v>COORD. DE FORMULACION PRESUPUS</v>
      </c>
    </row>
    <row r="263" spans="1:18" ht="23.25" x14ac:dyDescent="0.2">
      <c r="A263" s="1">
        <v>1</v>
      </c>
      <c r="B263" s="6" t="str">
        <f>VLOOKUP(A263,'ACTIVOS CODIGO'!A:B,2,0)</f>
        <v>ACTIVO</v>
      </c>
      <c r="C263" s="2">
        <v>2</v>
      </c>
      <c r="D263" s="7" t="str">
        <f>VLOOKUP(C263,'ACTIVOS CODIGO'!C:D,2,0)</f>
        <v>ACTIVO DE LA HACIENDA = ACTIVO NO CORRIENTE</v>
      </c>
      <c r="E263" s="3">
        <v>2</v>
      </c>
      <c r="F263" s="8" t="str">
        <f>VLOOKUP(E263,'ACTIVOS CODIGO'!E:F,2,0)</f>
        <v>ACTIVO EXIGIBLE</v>
      </c>
      <c r="G263" s="10">
        <v>214</v>
      </c>
      <c r="H263" s="10" t="str">
        <f>VLOOKUP(G263,'PUB 21'!$A$1:$B$29,2,0)</f>
        <v>BIENES  MUEBLES</v>
      </c>
      <c r="K263" s="18"/>
      <c r="L263" s="5"/>
      <c r="M263" s="27" t="str">
        <f t="shared" si="26"/>
        <v>1-2-2-21-40-00</v>
      </c>
      <c r="N263" s="27" t="str">
        <f t="shared" si="27"/>
        <v>BIENES  MUEBLES</v>
      </c>
      <c r="O263" s="4">
        <f t="shared" si="28"/>
        <v>48</v>
      </c>
      <c r="P263" s="4" t="s">
        <v>283</v>
      </c>
      <c r="Q263" s="4" t="str">
        <f t="shared" si="30"/>
        <v>1-2-2-21-40-00-048</v>
      </c>
      <c r="R263" s="4" t="str">
        <f t="shared" si="29"/>
        <v>DIRECCION DE INFORMATICA</v>
      </c>
    </row>
    <row r="264" spans="1:18" ht="23.25" x14ac:dyDescent="0.2">
      <c r="A264" s="1">
        <v>1</v>
      </c>
      <c r="B264" s="6" t="str">
        <f>VLOOKUP(A264,'ACTIVOS CODIGO'!A:B,2,0)</f>
        <v>ACTIVO</v>
      </c>
      <c r="C264" s="2">
        <v>2</v>
      </c>
      <c r="D264" s="7" t="str">
        <f>VLOOKUP(C264,'ACTIVOS CODIGO'!C:D,2,0)</f>
        <v>ACTIVO DE LA HACIENDA = ACTIVO NO CORRIENTE</v>
      </c>
      <c r="E264" s="3">
        <v>2</v>
      </c>
      <c r="F264" s="8" t="str">
        <f>VLOOKUP(E264,'ACTIVOS CODIGO'!E:F,2,0)</f>
        <v>ACTIVO EXIGIBLE</v>
      </c>
      <c r="G264" s="10">
        <v>214</v>
      </c>
      <c r="H264" s="10" t="str">
        <f>VLOOKUP(G264,'PUB 21'!$A$1:$B$29,2,0)</f>
        <v>BIENES  MUEBLES</v>
      </c>
      <c r="K264" s="18"/>
      <c r="L264" s="5"/>
      <c r="M264" s="27" t="str">
        <f t="shared" si="26"/>
        <v>1-2-2-21-40-00</v>
      </c>
      <c r="N264" s="27" t="str">
        <f t="shared" si="27"/>
        <v>BIENES  MUEBLES</v>
      </c>
      <c r="O264" s="4">
        <f t="shared" si="28"/>
        <v>49</v>
      </c>
      <c r="P264" s="4" t="s">
        <v>284</v>
      </c>
      <c r="Q264" s="4" t="str">
        <f t="shared" si="30"/>
        <v>1-2-2-21-40-00-049</v>
      </c>
      <c r="R264" s="4" t="str">
        <f t="shared" si="29"/>
        <v>UNID. DE SERVICIOS DE GESTION</v>
      </c>
    </row>
    <row r="265" spans="1:18" ht="23.25" x14ac:dyDescent="0.2">
      <c r="A265" s="1">
        <v>1</v>
      </c>
      <c r="B265" s="6" t="str">
        <f>VLOOKUP(A265,'ACTIVOS CODIGO'!A:B,2,0)</f>
        <v>ACTIVO</v>
      </c>
      <c r="C265" s="2">
        <v>2</v>
      </c>
      <c r="D265" s="7" t="str">
        <f>VLOOKUP(C265,'ACTIVOS CODIGO'!C:D,2,0)</f>
        <v>ACTIVO DE LA HACIENDA = ACTIVO NO CORRIENTE</v>
      </c>
      <c r="E265" s="3">
        <v>2</v>
      </c>
      <c r="F265" s="8" t="str">
        <f>VLOOKUP(E265,'ACTIVOS CODIGO'!E:F,2,0)</f>
        <v>ACTIVO EXIGIBLE</v>
      </c>
      <c r="G265" s="10">
        <v>214</v>
      </c>
      <c r="H265" s="10" t="str">
        <f>VLOOKUP(G265,'PUB 21'!$A$1:$B$29,2,0)</f>
        <v>BIENES  MUEBLES</v>
      </c>
      <c r="K265" s="18"/>
      <c r="L265" s="5"/>
      <c r="M265" s="27" t="str">
        <f t="shared" si="26"/>
        <v>1-2-2-21-40-00</v>
      </c>
      <c r="N265" s="27" t="str">
        <f t="shared" si="27"/>
        <v>BIENES  MUEBLES</v>
      </c>
      <c r="O265" s="4">
        <f t="shared" si="28"/>
        <v>50</v>
      </c>
      <c r="P265" s="4" t="s">
        <v>285</v>
      </c>
      <c r="Q265" s="4" t="str">
        <f t="shared" si="30"/>
        <v>1-2-2-21-40-00-050</v>
      </c>
      <c r="R265" s="4" t="str">
        <f t="shared" si="29"/>
        <v>COORD. SISTEMA DE INFOMACION</v>
      </c>
    </row>
    <row r="266" spans="1:18" ht="23.25" x14ac:dyDescent="0.2">
      <c r="A266" s="1">
        <v>1</v>
      </c>
      <c r="B266" s="6" t="str">
        <f>VLOOKUP(A266,'ACTIVOS CODIGO'!A:B,2,0)</f>
        <v>ACTIVO</v>
      </c>
      <c r="C266" s="2">
        <v>2</v>
      </c>
      <c r="D266" s="7" t="str">
        <f>VLOOKUP(C266,'ACTIVOS CODIGO'!C:D,2,0)</f>
        <v>ACTIVO DE LA HACIENDA = ACTIVO NO CORRIENTE</v>
      </c>
      <c r="E266" s="3">
        <v>2</v>
      </c>
      <c r="F266" s="8" t="str">
        <f>VLOOKUP(E266,'ACTIVOS CODIGO'!E:F,2,0)</f>
        <v>ACTIVO EXIGIBLE</v>
      </c>
      <c r="G266" s="10">
        <v>214</v>
      </c>
      <c r="H266" s="10" t="str">
        <f>VLOOKUP(G266,'PUB 21'!$A$1:$B$29,2,0)</f>
        <v>BIENES  MUEBLES</v>
      </c>
      <c r="K266" s="18"/>
      <c r="L266" s="5"/>
      <c r="M266" s="27" t="str">
        <f t="shared" si="26"/>
        <v>1-2-2-21-40-00</v>
      </c>
      <c r="N266" s="27" t="str">
        <f t="shared" si="27"/>
        <v>BIENES  MUEBLES</v>
      </c>
      <c r="O266" s="4">
        <f t="shared" si="28"/>
        <v>51</v>
      </c>
      <c r="P266" s="4" t="s">
        <v>286</v>
      </c>
      <c r="Q266" s="4" t="str">
        <f t="shared" si="30"/>
        <v>1-2-2-21-40-00-051</v>
      </c>
      <c r="R266" s="4" t="str">
        <f t="shared" si="29"/>
        <v>COORD. DE APLICACION WEB</v>
      </c>
    </row>
    <row r="267" spans="1:18" ht="23.25" x14ac:dyDescent="0.2">
      <c r="A267" s="1">
        <v>1</v>
      </c>
      <c r="B267" s="6" t="str">
        <f>VLOOKUP(A267,'ACTIVOS CODIGO'!A:B,2,0)</f>
        <v>ACTIVO</v>
      </c>
      <c r="C267" s="2">
        <v>2</v>
      </c>
      <c r="D267" s="7" t="str">
        <f>VLOOKUP(C267,'ACTIVOS CODIGO'!C:D,2,0)</f>
        <v>ACTIVO DE LA HACIENDA = ACTIVO NO CORRIENTE</v>
      </c>
      <c r="E267" s="3">
        <v>2</v>
      </c>
      <c r="F267" s="8" t="str">
        <f>VLOOKUP(E267,'ACTIVOS CODIGO'!E:F,2,0)</f>
        <v>ACTIVO EXIGIBLE</v>
      </c>
      <c r="G267" s="10">
        <v>214</v>
      </c>
      <c r="H267" s="10" t="str">
        <f>VLOOKUP(G267,'PUB 21'!$A$1:$B$29,2,0)</f>
        <v>BIENES  MUEBLES</v>
      </c>
      <c r="K267" s="18"/>
      <c r="L267" s="5"/>
      <c r="M267" s="27" t="str">
        <f t="shared" si="26"/>
        <v>1-2-2-21-40-00</v>
      </c>
      <c r="N267" s="27" t="str">
        <f t="shared" si="27"/>
        <v>BIENES  MUEBLES</v>
      </c>
      <c r="O267" s="4">
        <f t="shared" si="28"/>
        <v>52</v>
      </c>
      <c r="P267" s="4" t="s">
        <v>287</v>
      </c>
      <c r="Q267" s="4" t="str">
        <f t="shared" si="30"/>
        <v>1-2-2-21-40-00-052</v>
      </c>
      <c r="R267" s="4" t="str">
        <f t="shared" si="29"/>
        <v>UNID. DE SERVICIOS CORPORATIVO</v>
      </c>
    </row>
    <row r="268" spans="1:18" ht="23.25" x14ac:dyDescent="0.2">
      <c r="A268" s="1">
        <v>1</v>
      </c>
      <c r="B268" s="6" t="str">
        <f>VLOOKUP(A268,'ACTIVOS CODIGO'!A:B,2,0)</f>
        <v>ACTIVO</v>
      </c>
      <c r="C268" s="2">
        <v>2</v>
      </c>
      <c r="D268" s="7" t="str">
        <f>VLOOKUP(C268,'ACTIVOS CODIGO'!C:D,2,0)</f>
        <v>ACTIVO DE LA HACIENDA = ACTIVO NO CORRIENTE</v>
      </c>
      <c r="E268" s="3">
        <v>2</v>
      </c>
      <c r="F268" s="8" t="str">
        <f>VLOOKUP(E268,'ACTIVOS CODIGO'!E:F,2,0)</f>
        <v>ACTIVO EXIGIBLE</v>
      </c>
      <c r="G268" s="10">
        <v>214</v>
      </c>
      <c r="H268" s="10" t="str">
        <f>VLOOKUP(G268,'PUB 21'!$A$1:$B$29,2,0)</f>
        <v>BIENES  MUEBLES</v>
      </c>
      <c r="K268" s="18"/>
      <c r="L268" s="5"/>
      <c r="M268" s="27" t="str">
        <f t="shared" si="26"/>
        <v>1-2-2-21-40-00</v>
      </c>
      <c r="N268" s="27" t="str">
        <f t="shared" si="27"/>
        <v>BIENES  MUEBLES</v>
      </c>
      <c r="O268" s="4">
        <f t="shared" si="28"/>
        <v>53</v>
      </c>
      <c r="P268" s="4" t="s">
        <v>288</v>
      </c>
      <c r="Q268" s="4" t="str">
        <f t="shared" si="30"/>
        <v>1-2-2-21-40-00-053</v>
      </c>
      <c r="R268" s="4" t="str">
        <f t="shared" si="29"/>
        <v>COORD. DE REDES Y SERVIDORES</v>
      </c>
    </row>
    <row r="269" spans="1:18" ht="23.25" x14ac:dyDescent="0.2">
      <c r="A269" s="1">
        <v>1</v>
      </c>
      <c r="B269" s="6" t="str">
        <f>VLOOKUP(A269,'ACTIVOS CODIGO'!A:B,2,0)</f>
        <v>ACTIVO</v>
      </c>
      <c r="C269" s="2">
        <v>2</v>
      </c>
      <c r="D269" s="7" t="str">
        <f>VLOOKUP(C269,'ACTIVOS CODIGO'!C:D,2,0)</f>
        <v>ACTIVO DE LA HACIENDA = ACTIVO NO CORRIENTE</v>
      </c>
      <c r="E269" s="3">
        <v>2</v>
      </c>
      <c r="F269" s="8" t="str">
        <f>VLOOKUP(E269,'ACTIVOS CODIGO'!E:F,2,0)</f>
        <v>ACTIVO EXIGIBLE</v>
      </c>
      <c r="G269" s="10">
        <v>214</v>
      </c>
      <c r="H269" s="10" t="str">
        <f>VLOOKUP(G269,'PUB 21'!$A$1:$B$29,2,0)</f>
        <v>BIENES  MUEBLES</v>
      </c>
      <c r="K269" s="18"/>
      <c r="L269" s="5"/>
      <c r="M269" s="27" t="str">
        <f t="shared" si="26"/>
        <v>1-2-2-21-40-00</v>
      </c>
      <c r="N269" s="27" t="str">
        <f t="shared" si="27"/>
        <v>BIENES  MUEBLES</v>
      </c>
      <c r="O269" s="4">
        <f t="shared" si="28"/>
        <v>54</v>
      </c>
      <c r="P269" s="4" t="s">
        <v>289</v>
      </c>
      <c r="Q269" s="4" t="str">
        <f t="shared" si="30"/>
        <v>1-2-2-21-40-00-054</v>
      </c>
      <c r="R269" s="4" t="str">
        <f t="shared" si="29"/>
        <v>COORD. DE OPERAC. Y SERV. TECN</v>
      </c>
    </row>
    <row r="270" spans="1:18" ht="23.25" x14ac:dyDescent="0.2">
      <c r="A270" s="1">
        <v>1</v>
      </c>
      <c r="B270" s="6" t="str">
        <f>VLOOKUP(A270,'ACTIVOS CODIGO'!A:B,2,0)</f>
        <v>ACTIVO</v>
      </c>
      <c r="C270" s="2">
        <v>2</v>
      </c>
      <c r="D270" s="7" t="str">
        <f>VLOOKUP(C270,'ACTIVOS CODIGO'!C:D,2,0)</f>
        <v>ACTIVO DE LA HACIENDA = ACTIVO NO CORRIENTE</v>
      </c>
      <c r="E270" s="3">
        <v>2</v>
      </c>
      <c r="F270" s="8" t="str">
        <f>VLOOKUP(E270,'ACTIVOS CODIGO'!E:F,2,0)</f>
        <v>ACTIVO EXIGIBLE</v>
      </c>
      <c r="G270" s="10">
        <v>214</v>
      </c>
      <c r="H270" s="10" t="str">
        <f>VLOOKUP(G270,'PUB 21'!$A$1:$B$29,2,0)</f>
        <v>BIENES  MUEBLES</v>
      </c>
      <c r="K270" s="18"/>
      <c r="L270" s="5"/>
      <c r="M270" s="27" t="str">
        <f t="shared" si="26"/>
        <v>1-2-2-21-40-00</v>
      </c>
      <c r="N270" s="27" t="str">
        <f t="shared" si="27"/>
        <v>BIENES  MUEBLES</v>
      </c>
      <c r="O270" s="4">
        <f t="shared" si="28"/>
        <v>55</v>
      </c>
      <c r="P270" s="4" t="s">
        <v>290</v>
      </c>
      <c r="Q270" s="4" t="str">
        <f t="shared" si="30"/>
        <v>1-2-2-21-40-00-055</v>
      </c>
      <c r="R270" s="4" t="str">
        <f t="shared" si="29"/>
        <v>DIRECCION DE RECURSOS HUMANOS</v>
      </c>
    </row>
    <row r="271" spans="1:18" ht="23.25" x14ac:dyDescent="0.2">
      <c r="A271" s="1">
        <v>1</v>
      </c>
      <c r="B271" s="6" t="str">
        <f>VLOOKUP(A271,'ACTIVOS CODIGO'!A:B,2,0)</f>
        <v>ACTIVO</v>
      </c>
      <c r="C271" s="2">
        <v>2</v>
      </c>
      <c r="D271" s="7" t="str">
        <f>VLOOKUP(C271,'ACTIVOS CODIGO'!C:D,2,0)</f>
        <v>ACTIVO DE LA HACIENDA = ACTIVO NO CORRIENTE</v>
      </c>
      <c r="E271" s="3">
        <v>2</v>
      </c>
      <c r="F271" s="8" t="str">
        <f>VLOOKUP(E271,'ACTIVOS CODIGO'!E:F,2,0)</f>
        <v>ACTIVO EXIGIBLE</v>
      </c>
      <c r="G271" s="10">
        <v>214</v>
      </c>
      <c r="H271" s="10" t="str">
        <f>VLOOKUP(G271,'PUB 21'!$A$1:$B$29,2,0)</f>
        <v>BIENES  MUEBLES</v>
      </c>
      <c r="K271" s="18"/>
      <c r="L271" s="5"/>
      <c r="M271" s="27" t="str">
        <f t="shared" si="26"/>
        <v>1-2-2-21-40-00</v>
      </c>
      <c r="N271" s="27" t="str">
        <f t="shared" si="27"/>
        <v>BIENES  MUEBLES</v>
      </c>
      <c r="O271" s="4">
        <f t="shared" si="28"/>
        <v>56</v>
      </c>
      <c r="P271" s="4" t="s">
        <v>291</v>
      </c>
      <c r="Q271" s="4" t="str">
        <f t="shared" si="30"/>
        <v>1-2-2-21-40-00-056</v>
      </c>
      <c r="R271" s="4" t="str">
        <f t="shared" si="29"/>
        <v>COORD. DE BIENESTAR SOCIAL</v>
      </c>
    </row>
    <row r="272" spans="1:18" ht="23.25" x14ac:dyDescent="0.2">
      <c r="A272" s="1">
        <v>1</v>
      </c>
      <c r="B272" s="6" t="str">
        <f>VLOOKUP(A272,'ACTIVOS CODIGO'!A:B,2,0)</f>
        <v>ACTIVO</v>
      </c>
      <c r="C272" s="2">
        <v>2</v>
      </c>
      <c r="D272" s="7" t="str">
        <f>VLOOKUP(C272,'ACTIVOS CODIGO'!C:D,2,0)</f>
        <v>ACTIVO DE LA HACIENDA = ACTIVO NO CORRIENTE</v>
      </c>
      <c r="E272" s="3">
        <v>2</v>
      </c>
      <c r="F272" s="8" t="str">
        <f>VLOOKUP(E272,'ACTIVOS CODIGO'!E:F,2,0)</f>
        <v>ACTIVO EXIGIBLE</v>
      </c>
      <c r="G272" s="10">
        <v>214</v>
      </c>
      <c r="H272" s="10" t="str">
        <f>VLOOKUP(G272,'PUB 21'!$A$1:$B$29,2,0)</f>
        <v>BIENES  MUEBLES</v>
      </c>
      <c r="K272" s="18"/>
      <c r="L272" s="5"/>
      <c r="M272" s="27" t="str">
        <f t="shared" si="26"/>
        <v>1-2-2-21-40-00</v>
      </c>
      <c r="N272" s="27" t="str">
        <f t="shared" si="27"/>
        <v>BIENES  MUEBLES</v>
      </c>
      <c r="O272" s="4">
        <f t="shared" si="28"/>
        <v>57</v>
      </c>
      <c r="P272" s="4" t="s">
        <v>292</v>
      </c>
      <c r="Q272" s="4" t="str">
        <f t="shared" si="30"/>
        <v>1-2-2-21-40-00-057</v>
      </c>
      <c r="R272" s="4" t="str">
        <f t="shared" si="29"/>
        <v>UNIDAD DE ATENCION INTEGRAL DE</v>
      </c>
    </row>
    <row r="273" spans="1:18" ht="23.25" x14ac:dyDescent="0.2">
      <c r="A273" s="1">
        <v>1</v>
      </c>
      <c r="B273" s="6" t="str">
        <f>VLOOKUP(A273,'ACTIVOS CODIGO'!A:B,2,0)</f>
        <v>ACTIVO</v>
      </c>
      <c r="C273" s="2">
        <v>2</v>
      </c>
      <c r="D273" s="7" t="str">
        <f>VLOOKUP(C273,'ACTIVOS CODIGO'!C:D,2,0)</f>
        <v>ACTIVO DE LA HACIENDA = ACTIVO NO CORRIENTE</v>
      </c>
      <c r="E273" s="3">
        <v>2</v>
      </c>
      <c r="F273" s="8" t="str">
        <f>VLOOKUP(E273,'ACTIVOS CODIGO'!E:F,2,0)</f>
        <v>ACTIVO EXIGIBLE</v>
      </c>
      <c r="G273" s="10">
        <v>214</v>
      </c>
      <c r="H273" s="10" t="str">
        <f>VLOOKUP(G273,'PUB 21'!$A$1:$B$29,2,0)</f>
        <v>BIENES  MUEBLES</v>
      </c>
      <c r="K273" s="18"/>
      <c r="L273" s="5"/>
      <c r="M273" s="27" t="str">
        <f t="shared" si="26"/>
        <v>1-2-2-21-40-00</v>
      </c>
      <c r="N273" s="27" t="str">
        <f t="shared" si="27"/>
        <v>BIENES  MUEBLES</v>
      </c>
      <c r="O273" s="4">
        <f t="shared" si="28"/>
        <v>58</v>
      </c>
      <c r="P273" s="4" t="s">
        <v>293</v>
      </c>
      <c r="Q273" s="4" t="str">
        <f t="shared" si="30"/>
        <v>1-2-2-21-40-00-058</v>
      </c>
      <c r="R273" s="4" t="str">
        <f t="shared" si="29"/>
        <v>COORD. DE ADMON Y CONTROL PRESP</v>
      </c>
    </row>
    <row r="274" spans="1:18" ht="23.25" x14ac:dyDescent="0.2">
      <c r="A274" s="1">
        <v>1</v>
      </c>
      <c r="B274" s="6" t="str">
        <f>VLOOKUP(A274,'ACTIVOS CODIGO'!A:B,2,0)</f>
        <v>ACTIVO</v>
      </c>
      <c r="C274" s="2">
        <v>2</v>
      </c>
      <c r="D274" s="7" t="str">
        <f>VLOOKUP(C274,'ACTIVOS CODIGO'!C:D,2,0)</f>
        <v>ACTIVO DE LA HACIENDA = ACTIVO NO CORRIENTE</v>
      </c>
      <c r="E274" s="3">
        <v>2</v>
      </c>
      <c r="F274" s="8" t="str">
        <f>VLOOKUP(E274,'ACTIVOS CODIGO'!E:F,2,0)</f>
        <v>ACTIVO EXIGIBLE</v>
      </c>
      <c r="G274" s="10">
        <v>214</v>
      </c>
      <c r="H274" s="10" t="str">
        <f>VLOOKUP(G274,'PUB 21'!$A$1:$B$29,2,0)</f>
        <v>BIENES  MUEBLES</v>
      </c>
      <c r="K274" s="18"/>
      <c r="L274" s="5"/>
      <c r="M274" s="27" t="str">
        <f t="shared" si="26"/>
        <v>1-2-2-21-40-00</v>
      </c>
      <c r="N274" s="27" t="str">
        <f t="shared" si="27"/>
        <v>BIENES  MUEBLES</v>
      </c>
      <c r="O274" s="4">
        <f t="shared" si="28"/>
        <v>59</v>
      </c>
      <c r="P274" s="4" t="s">
        <v>294</v>
      </c>
      <c r="Q274" s="4" t="str">
        <f t="shared" si="30"/>
        <v>1-2-2-21-40-00-059</v>
      </c>
      <c r="R274" s="4" t="str">
        <f t="shared" si="29"/>
        <v>COORD. DE PENSION. Y JUBILADOS</v>
      </c>
    </row>
    <row r="275" spans="1:18" ht="23.25" x14ac:dyDescent="0.2">
      <c r="A275" s="1">
        <v>1</v>
      </c>
      <c r="B275" s="6" t="str">
        <f>VLOOKUP(A275,'ACTIVOS CODIGO'!A:B,2,0)</f>
        <v>ACTIVO</v>
      </c>
      <c r="C275" s="2">
        <v>2</v>
      </c>
      <c r="D275" s="7" t="str">
        <f>VLOOKUP(C275,'ACTIVOS CODIGO'!C:D,2,0)</f>
        <v>ACTIVO DE LA HACIENDA = ACTIVO NO CORRIENTE</v>
      </c>
      <c r="E275" s="3">
        <v>2</v>
      </c>
      <c r="F275" s="8" t="str">
        <f>VLOOKUP(E275,'ACTIVOS CODIGO'!E:F,2,0)</f>
        <v>ACTIVO EXIGIBLE</v>
      </c>
      <c r="G275" s="10">
        <v>214</v>
      </c>
      <c r="H275" s="10" t="str">
        <f>VLOOKUP(G275,'PUB 21'!$A$1:$B$29,2,0)</f>
        <v>BIENES  MUEBLES</v>
      </c>
      <c r="K275" s="18"/>
      <c r="L275" s="5"/>
      <c r="M275" s="27" t="str">
        <f t="shared" si="26"/>
        <v>1-2-2-21-40-00</v>
      </c>
      <c r="N275" s="27" t="str">
        <f t="shared" si="27"/>
        <v>BIENES  MUEBLES</v>
      </c>
      <c r="O275" s="4">
        <f t="shared" si="28"/>
        <v>60</v>
      </c>
      <c r="P275" s="4" t="s">
        <v>295</v>
      </c>
      <c r="Q275" s="4" t="str">
        <f t="shared" si="30"/>
        <v>1-2-2-21-40-00-060</v>
      </c>
      <c r="R275" s="4" t="str">
        <f t="shared" si="29"/>
        <v>UNIDAD DE ADMON DE RRHH</v>
      </c>
    </row>
    <row r="276" spans="1:18" ht="23.25" x14ac:dyDescent="0.2">
      <c r="A276" s="1">
        <v>1</v>
      </c>
      <c r="B276" s="6" t="str">
        <f>VLOOKUP(A276,'ACTIVOS CODIGO'!A:B,2,0)</f>
        <v>ACTIVO</v>
      </c>
      <c r="C276" s="2">
        <v>2</v>
      </c>
      <c r="D276" s="7" t="str">
        <f>VLOOKUP(C276,'ACTIVOS CODIGO'!C:D,2,0)</f>
        <v>ACTIVO DE LA HACIENDA = ACTIVO NO CORRIENTE</v>
      </c>
      <c r="E276" s="3">
        <v>2</v>
      </c>
      <c r="F276" s="8" t="str">
        <f>VLOOKUP(E276,'ACTIVOS CODIGO'!E:F,2,0)</f>
        <v>ACTIVO EXIGIBLE</v>
      </c>
      <c r="G276" s="10">
        <v>214</v>
      </c>
      <c r="H276" s="10" t="str">
        <f>VLOOKUP(G276,'PUB 21'!$A$1:$B$29,2,0)</f>
        <v>BIENES  MUEBLES</v>
      </c>
      <c r="K276" s="18"/>
      <c r="L276" s="5"/>
      <c r="M276" s="27" t="str">
        <f t="shared" si="26"/>
        <v>1-2-2-21-40-00</v>
      </c>
      <c r="N276" s="27" t="str">
        <f t="shared" si="27"/>
        <v>BIENES  MUEBLES</v>
      </c>
      <c r="O276" s="4">
        <f t="shared" si="28"/>
        <v>61</v>
      </c>
      <c r="P276" s="4" t="s">
        <v>296</v>
      </c>
      <c r="Q276" s="4" t="str">
        <f t="shared" si="30"/>
        <v>1-2-2-21-40-00-061</v>
      </c>
      <c r="R276" s="4" t="str">
        <f t="shared" si="29"/>
        <v>COORDINACION DE NOMINAS</v>
      </c>
    </row>
    <row r="277" spans="1:18" ht="23.25" x14ac:dyDescent="0.2">
      <c r="A277" s="1">
        <v>1</v>
      </c>
      <c r="B277" s="6" t="str">
        <f>VLOOKUP(A277,'ACTIVOS CODIGO'!A:B,2,0)</f>
        <v>ACTIVO</v>
      </c>
      <c r="C277" s="2">
        <v>2</v>
      </c>
      <c r="D277" s="7" t="str">
        <f>VLOOKUP(C277,'ACTIVOS CODIGO'!C:D,2,0)</f>
        <v>ACTIVO DE LA HACIENDA = ACTIVO NO CORRIENTE</v>
      </c>
      <c r="E277" s="3">
        <v>2</v>
      </c>
      <c r="F277" s="8" t="str">
        <f>VLOOKUP(E277,'ACTIVOS CODIGO'!E:F,2,0)</f>
        <v>ACTIVO EXIGIBLE</v>
      </c>
      <c r="G277" s="10">
        <v>214</v>
      </c>
      <c r="H277" s="10" t="str">
        <f>VLOOKUP(G277,'PUB 21'!$A$1:$B$29,2,0)</f>
        <v>BIENES  MUEBLES</v>
      </c>
      <c r="K277" s="18"/>
      <c r="L277" s="5"/>
      <c r="M277" s="27" t="str">
        <f t="shared" si="26"/>
        <v>1-2-2-21-40-00</v>
      </c>
      <c r="N277" s="27" t="str">
        <f t="shared" si="27"/>
        <v>BIENES  MUEBLES</v>
      </c>
      <c r="O277" s="4">
        <f t="shared" si="28"/>
        <v>62</v>
      </c>
      <c r="P277" s="4" t="s">
        <v>297</v>
      </c>
      <c r="Q277" s="4" t="str">
        <f t="shared" si="30"/>
        <v>1-2-2-21-40-00-062</v>
      </c>
      <c r="R277" s="4" t="str">
        <f t="shared" si="29"/>
        <v>COORDINACION DE ARCHIVO</v>
      </c>
    </row>
    <row r="278" spans="1:18" ht="23.25" x14ac:dyDescent="0.2">
      <c r="A278" s="1">
        <v>1</v>
      </c>
      <c r="B278" s="6" t="str">
        <f>VLOOKUP(A278,'ACTIVOS CODIGO'!A:B,2,0)</f>
        <v>ACTIVO</v>
      </c>
      <c r="C278" s="2">
        <v>2</v>
      </c>
      <c r="D278" s="7" t="str">
        <f>VLOOKUP(C278,'ACTIVOS CODIGO'!C:D,2,0)</f>
        <v>ACTIVO DE LA HACIENDA = ACTIVO NO CORRIENTE</v>
      </c>
      <c r="E278" s="3">
        <v>2</v>
      </c>
      <c r="F278" s="8" t="str">
        <f>VLOOKUP(E278,'ACTIVOS CODIGO'!E:F,2,0)</f>
        <v>ACTIVO EXIGIBLE</v>
      </c>
      <c r="G278" s="10">
        <v>214</v>
      </c>
      <c r="H278" s="10" t="str">
        <f>VLOOKUP(G278,'PUB 21'!$A$1:$B$29,2,0)</f>
        <v>BIENES  MUEBLES</v>
      </c>
      <c r="K278" s="18"/>
      <c r="L278" s="5"/>
      <c r="M278" s="27" t="str">
        <f t="shared" si="26"/>
        <v>1-2-2-21-40-00</v>
      </c>
      <c r="N278" s="27" t="str">
        <f t="shared" si="27"/>
        <v>BIENES  MUEBLES</v>
      </c>
      <c r="O278" s="4">
        <f t="shared" si="28"/>
        <v>63</v>
      </c>
      <c r="P278" s="4" t="s">
        <v>298</v>
      </c>
      <c r="Q278" s="4" t="str">
        <f t="shared" si="30"/>
        <v>1-2-2-21-40-00-063</v>
      </c>
      <c r="R278" s="4" t="str">
        <f t="shared" si="29"/>
        <v>COORD. DE REGISTRO Y CONTROL</v>
      </c>
    </row>
    <row r="279" spans="1:18" ht="23.25" x14ac:dyDescent="0.2">
      <c r="A279" s="1">
        <v>1</v>
      </c>
      <c r="B279" s="6" t="str">
        <f>VLOOKUP(A279,'ACTIVOS CODIGO'!A:B,2,0)</f>
        <v>ACTIVO</v>
      </c>
      <c r="C279" s="2">
        <v>2</v>
      </c>
      <c r="D279" s="7" t="str">
        <f>VLOOKUP(C279,'ACTIVOS CODIGO'!C:D,2,0)</f>
        <v>ACTIVO DE LA HACIENDA = ACTIVO NO CORRIENTE</v>
      </c>
      <c r="E279" s="3">
        <v>2</v>
      </c>
      <c r="F279" s="8" t="str">
        <f>VLOOKUP(E279,'ACTIVOS CODIGO'!E:F,2,0)</f>
        <v>ACTIVO EXIGIBLE</v>
      </c>
      <c r="G279" s="10">
        <v>214</v>
      </c>
      <c r="H279" s="10" t="str">
        <f>VLOOKUP(G279,'PUB 21'!$A$1:$B$29,2,0)</f>
        <v>BIENES  MUEBLES</v>
      </c>
      <c r="K279" s="18"/>
      <c r="L279" s="5"/>
      <c r="M279" s="27" t="str">
        <f t="shared" si="26"/>
        <v>1-2-2-21-40-00</v>
      </c>
      <c r="N279" s="27" t="str">
        <f t="shared" si="27"/>
        <v>BIENES  MUEBLES</v>
      </c>
      <c r="O279" s="4">
        <f t="shared" si="28"/>
        <v>64</v>
      </c>
      <c r="P279" s="4" t="s">
        <v>299</v>
      </c>
      <c r="Q279" s="4" t="str">
        <f t="shared" si="30"/>
        <v>1-2-2-21-40-00-064</v>
      </c>
      <c r="R279" s="4" t="str">
        <f t="shared" si="29"/>
        <v>UNID. DE RELAC. LABOR Y ADMIN</v>
      </c>
    </row>
    <row r="280" spans="1:18" ht="23.25" x14ac:dyDescent="0.2">
      <c r="A280" s="1">
        <v>1</v>
      </c>
      <c r="B280" s="6" t="str">
        <f>VLOOKUP(A280,'ACTIVOS CODIGO'!A:B,2,0)</f>
        <v>ACTIVO</v>
      </c>
      <c r="C280" s="2">
        <v>2</v>
      </c>
      <c r="D280" s="7" t="str">
        <f>VLOOKUP(C280,'ACTIVOS CODIGO'!C:D,2,0)</f>
        <v>ACTIVO DE LA HACIENDA = ACTIVO NO CORRIENTE</v>
      </c>
      <c r="E280" s="3">
        <v>2</v>
      </c>
      <c r="F280" s="8" t="str">
        <f>VLOOKUP(E280,'ACTIVOS CODIGO'!E:F,2,0)</f>
        <v>ACTIVO EXIGIBLE</v>
      </c>
      <c r="G280" s="10">
        <v>214</v>
      </c>
      <c r="H280" s="10" t="str">
        <f>VLOOKUP(G280,'PUB 21'!$A$1:$B$29,2,0)</f>
        <v>BIENES  MUEBLES</v>
      </c>
      <c r="K280" s="18"/>
      <c r="L280" s="5"/>
      <c r="M280" s="27" t="str">
        <f t="shared" si="26"/>
        <v>1-2-2-21-40-00</v>
      </c>
      <c r="N280" s="27" t="str">
        <f t="shared" si="27"/>
        <v>BIENES  MUEBLES</v>
      </c>
      <c r="O280" s="4">
        <f t="shared" si="28"/>
        <v>65</v>
      </c>
      <c r="P280" s="4" t="s">
        <v>300</v>
      </c>
      <c r="Q280" s="4" t="str">
        <f t="shared" si="30"/>
        <v>1-2-2-21-40-00-065</v>
      </c>
      <c r="R280" s="4" t="str">
        <f t="shared" si="29"/>
        <v>UND. CAPTAC. Y DESARROLLO RRHH</v>
      </c>
    </row>
    <row r="281" spans="1:18" ht="23.25" x14ac:dyDescent="0.2">
      <c r="A281" s="1">
        <v>1</v>
      </c>
      <c r="B281" s="6" t="str">
        <f>VLOOKUP(A281,'ACTIVOS CODIGO'!A:B,2,0)</f>
        <v>ACTIVO</v>
      </c>
      <c r="C281" s="2">
        <v>2</v>
      </c>
      <c r="D281" s="7" t="str">
        <f>VLOOKUP(C281,'ACTIVOS CODIGO'!C:D,2,0)</f>
        <v>ACTIVO DE LA HACIENDA = ACTIVO NO CORRIENTE</v>
      </c>
      <c r="E281" s="3">
        <v>2</v>
      </c>
      <c r="F281" s="8" t="str">
        <f>VLOOKUP(E281,'ACTIVOS CODIGO'!E:F,2,0)</f>
        <v>ACTIVO EXIGIBLE</v>
      </c>
      <c r="G281" s="10">
        <v>214</v>
      </c>
      <c r="H281" s="10" t="str">
        <f>VLOOKUP(G281,'PUB 21'!$A$1:$B$29,2,0)</f>
        <v>BIENES  MUEBLES</v>
      </c>
      <c r="K281" s="18"/>
      <c r="L281" s="5"/>
      <c r="M281" s="27" t="str">
        <f t="shared" si="26"/>
        <v>1-2-2-21-40-00</v>
      </c>
      <c r="N281" s="27" t="str">
        <f t="shared" si="27"/>
        <v>BIENES  MUEBLES</v>
      </c>
      <c r="O281" s="4">
        <f t="shared" si="28"/>
        <v>66</v>
      </c>
      <c r="P281" s="4" t="s">
        <v>301</v>
      </c>
      <c r="Q281" s="4" t="str">
        <f t="shared" si="30"/>
        <v>1-2-2-21-40-00-066</v>
      </c>
      <c r="R281" s="4" t="str">
        <f t="shared" si="29"/>
        <v>COORD. DE RECLUTAM. Y SELECCION</v>
      </c>
    </row>
    <row r="282" spans="1:18" ht="23.25" x14ac:dyDescent="0.2">
      <c r="A282" s="1">
        <v>1</v>
      </c>
      <c r="B282" s="6" t="str">
        <f>VLOOKUP(A282,'ACTIVOS CODIGO'!A:B,2,0)</f>
        <v>ACTIVO</v>
      </c>
      <c r="C282" s="2">
        <v>2</v>
      </c>
      <c r="D282" s="7" t="str">
        <f>VLOOKUP(C282,'ACTIVOS CODIGO'!C:D,2,0)</f>
        <v>ACTIVO DE LA HACIENDA = ACTIVO NO CORRIENTE</v>
      </c>
      <c r="E282" s="3">
        <v>2</v>
      </c>
      <c r="F282" s="8" t="str">
        <f>VLOOKUP(E282,'ACTIVOS CODIGO'!E:F,2,0)</f>
        <v>ACTIVO EXIGIBLE</v>
      </c>
      <c r="G282" s="10">
        <v>214</v>
      </c>
      <c r="H282" s="10" t="str">
        <f>VLOOKUP(G282,'PUB 21'!$A$1:$B$29,2,0)</f>
        <v>BIENES  MUEBLES</v>
      </c>
      <c r="K282" s="18"/>
      <c r="L282" s="5"/>
      <c r="M282" s="27" t="str">
        <f t="shared" si="26"/>
        <v>1-2-2-21-40-00</v>
      </c>
      <c r="N282" s="27" t="str">
        <f t="shared" si="27"/>
        <v>BIENES  MUEBLES</v>
      </c>
      <c r="O282" s="4">
        <f t="shared" si="28"/>
        <v>67</v>
      </c>
      <c r="P282" s="4" t="s">
        <v>302</v>
      </c>
      <c r="Q282" s="4" t="str">
        <f t="shared" si="30"/>
        <v>1-2-2-21-40-00-067</v>
      </c>
      <c r="R282" s="4" t="str">
        <f t="shared" si="29"/>
        <v>COORD. DE CLASIF. Y REMUNERAC.</v>
      </c>
    </row>
    <row r="283" spans="1:18" ht="23.25" x14ac:dyDescent="0.2">
      <c r="A283" s="1">
        <v>1</v>
      </c>
      <c r="B283" s="6" t="str">
        <f>VLOOKUP(A283,'ACTIVOS CODIGO'!A:B,2,0)</f>
        <v>ACTIVO</v>
      </c>
      <c r="C283" s="2">
        <v>2</v>
      </c>
      <c r="D283" s="7" t="str">
        <f>VLOOKUP(C283,'ACTIVOS CODIGO'!C:D,2,0)</f>
        <v>ACTIVO DE LA HACIENDA = ACTIVO NO CORRIENTE</v>
      </c>
      <c r="E283" s="3">
        <v>2</v>
      </c>
      <c r="F283" s="8" t="str">
        <f>VLOOKUP(E283,'ACTIVOS CODIGO'!E:F,2,0)</f>
        <v>ACTIVO EXIGIBLE</v>
      </c>
      <c r="G283" s="10">
        <v>214</v>
      </c>
      <c r="H283" s="10" t="str">
        <f>VLOOKUP(G283,'PUB 21'!$A$1:$B$29,2,0)</f>
        <v>BIENES  MUEBLES</v>
      </c>
      <c r="K283" s="18"/>
      <c r="L283" s="5"/>
      <c r="M283" s="27" t="str">
        <f t="shared" si="26"/>
        <v>1-2-2-21-40-00</v>
      </c>
      <c r="N283" s="27" t="str">
        <f t="shared" si="27"/>
        <v>BIENES  MUEBLES</v>
      </c>
      <c r="O283" s="4">
        <f t="shared" si="28"/>
        <v>68</v>
      </c>
      <c r="P283" s="4" t="s">
        <v>303</v>
      </c>
      <c r="Q283" s="4" t="str">
        <f t="shared" si="30"/>
        <v>1-2-2-21-40-00-068</v>
      </c>
      <c r="R283" s="4" t="str">
        <f t="shared" si="29"/>
        <v>COORDINACION DE ADIESTRAMINETO</v>
      </c>
    </row>
    <row r="284" spans="1:18" ht="23.25" x14ac:dyDescent="0.2">
      <c r="A284" s="1">
        <v>1</v>
      </c>
      <c r="B284" s="6" t="str">
        <f>VLOOKUP(A284,'ACTIVOS CODIGO'!A:B,2,0)</f>
        <v>ACTIVO</v>
      </c>
      <c r="C284" s="2">
        <v>2</v>
      </c>
      <c r="D284" s="7" t="str">
        <f>VLOOKUP(C284,'ACTIVOS CODIGO'!C:D,2,0)</f>
        <v>ACTIVO DE LA HACIENDA = ACTIVO NO CORRIENTE</v>
      </c>
      <c r="E284" s="3">
        <v>2</v>
      </c>
      <c r="F284" s="8" t="str">
        <f>VLOOKUP(E284,'ACTIVOS CODIGO'!E:F,2,0)</f>
        <v>ACTIVO EXIGIBLE</v>
      </c>
      <c r="G284" s="10">
        <v>214</v>
      </c>
      <c r="H284" s="10" t="str">
        <f>VLOOKUP(G284,'PUB 21'!$A$1:$B$29,2,0)</f>
        <v>BIENES  MUEBLES</v>
      </c>
      <c r="K284" s="18"/>
      <c r="L284" s="5"/>
      <c r="M284" s="27" t="str">
        <f t="shared" si="26"/>
        <v>1-2-2-21-40-00</v>
      </c>
      <c r="N284" s="27" t="str">
        <f t="shared" si="27"/>
        <v>BIENES  MUEBLES</v>
      </c>
      <c r="O284" s="4">
        <f t="shared" si="28"/>
        <v>69</v>
      </c>
      <c r="P284" s="4" t="s">
        <v>304</v>
      </c>
      <c r="Q284" s="4" t="str">
        <f t="shared" si="30"/>
        <v>1-2-2-21-40-00-069</v>
      </c>
      <c r="R284" s="4" t="str">
        <f t="shared" si="29"/>
        <v>DIRECCION DE ADMON Y FINANZAS</v>
      </c>
    </row>
    <row r="285" spans="1:18" ht="23.25" x14ac:dyDescent="0.2">
      <c r="A285" s="1">
        <v>1</v>
      </c>
      <c r="B285" s="6" t="str">
        <f>VLOOKUP(A285,'ACTIVOS CODIGO'!A:B,2,0)</f>
        <v>ACTIVO</v>
      </c>
      <c r="C285" s="2">
        <v>2</v>
      </c>
      <c r="D285" s="7" t="str">
        <f>VLOOKUP(C285,'ACTIVOS CODIGO'!C:D,2,0)</f>
        <v>ACTIVO DE LA HACIENDA = ACTIVO NO CORRIENTE</v>
      </c>
      <c r="E285" s="3">
        <v>2</v>
      </c>
      <c r="F285" s="8" t="str">
        <f>VLOOKUP(E285,'ACTIVOS CODIGO'!E:F,2,0)</f>
        <v>ACTIVO EXIGIBLE</v>
      </c>
      <c r="G285" s="10">
        <v>214</v>
      </c>
      <c r="H285" s="10" t="str">
        <f>VLOOKUP(G285,'PUB 21'!$A$1:$B$29,2,0)</f>
        <v>BIENES  MUEBLES</v>
      </c>
      <c r="K285" s="18"/>
      <c r="L285" s="5"/>
      <c r="M285" s="27" t="str">
        <f t="shared" si="26"/>
        <v>1-2-2-21-40-00</v>
      </c>
      <c r="N285" s="27" t="str">
        <f t="shared" si="27"/>
        <v>BIENES  MUEBLES</v>
      </c>
      <c r="O285" s="4">
        <f t="shared" si="28"/>
        <v>70</v>
      </c>
      <c r="P285" s="4" t="s">
        <v>305</v>
      </c>
      <c r="Q285" s="4" t="str">
        <f t="shared" si="30"/>
        <v>1-2-2-21-40-00-070</v>
      </c>
      <c r="R285" s="4" t="str">
        <f t="shared" si="29"/>
        <v>UNID. DE COMPRAS Y SUMINISTRO</v>
      </c>
    </row>
    <row r="286" spans="1:18" ht="23.25" x14ac:dyDescent="0.2">
      <c r="A286" s="1">
        <v>1</v>
      </c>
      <c r="B286" s="6" t="str">
        <f>VLOOKUP(A286,'ACTIVOS CODIGO'!A:B,2,0)</f>
        <v>ACTIVO</v>
      </c>
      <c r="C286" s="2">
        <v>2</v>
      </c>
      <c r="D286" s="7" t="str">
        <f>VLOOKUP(C286,'ACTIVOS CODIGO'!C:D,2,0)</f>
        <v>ACTIVO DE LA HACIENDA = ACTIVO NO CORRIENTE</v>
      </c>
      <c r="E286" s="3">
        <v>2</v>
      </c>
      <c r="F286" s="8" t="str">
        <f>VLOOKUP(E286,'ACTIVOS CODIGO'!E:F,2,0)</f>
        <v>ACTIVO EXIGIBLE</v>
      </c>
      <c r="G286" s="10">
        <v>214</v>
      </c>
      <c r="H286" s="10" t="str">
        <f>VLOOKUP(G286,'PUB 21'!$A$1:$B$29,2,0)</f>
        <v>BIENES  MUEBLES</v>
      </c>
      <c r="K286" s="18"/>
      <c r="L286" s="5"/>
      <c r="M286" s="27" t="str">
        <f t="shared" si="26"/>
        <v>1-2-2-21-40-00</v>
      </c>
      <c r="N286" s="27" t="str">
        <f t="shared" si="27"/>
        <v>BIENES  MUEBLES</v>
      </c>
      <c r="O286" s="4">
        <f t="shared" si="28"/>
        <v>71</v>
      </c>
      <c r="P286" s="4" t="s">
        <v>306</v>
      </c>
      <c r="Q286" s="4" t="str">
        <f t="shared" si="30"/>
        <v>1-2-2-21-40-00-071</v>
      </c>
      <c r="R286" s="4" t="str">
        <f t="shared" si="29"/>
        <v>COORD. DE PROGRAMAC. COMPRAS</v>
      </c>
    </row>
    <row r="287" spans="1:18" ht="23.25" x14ac:dyDescent="0.2">
      <c r="A287" s="1">
        <v>1</v>
      </c>
      <c r="B287" s="6" t="str">
        <f>VLOOKUP(A287,'ACTIVOS CODIGO'!A:B,2,0)</f>
        <v>ACTIVO</v>
      </c>
      <c r="C287" s="2">
        <v>2</v>
      </c>
      <c r="D287" s="7" t="str">
        <f>VLOOKUP(C287,'ACTIVOS CODIGO'!C:D,2,0)</f>
        <v>ACTIVO DE LA HACIENDA = ACTIVO NO CORRIENTE</v>
      </c>
      <c r="E287" s="3">
        <v>2</v>
      </c>
      <c r="F287" s="8" t="str">
        <f>VLOOKUP(E287,'ACTIVOS CODIGO'!E:F,2,0)</f>
        <v>ACTIVO EXIGIBLE</v>
      </c>
      <c r="G287" s="10">
        <v>214</v>
      </c>
      <c r="H287" s="10" t="str">
        <f>VLOOKUP(G287,'PUB 21'!$A$1:$B$29,2,0)</f>
        <v>BIENES  MUEBLES</v>
      </c>
      <c r="K287" s="18"/>
      <c r="L287" s="5"/>
      <c r="M287" s="27" t="str">
        <f t="shared" si="26"/>
        <v>1-2-2-21-40-00</v>
      </c>
      <c r="N287" s="27" t="str">
        <f t="shared" si="27"/>
        <v>BIENES  MUEBLES</v>
      </c>
      <c r="O287" s="4">
        <f t="shared" si="28"/>
        <v>72</v>
      </c>
      <c r="P287" s="4" t="s">
        <v>307</v>
      </c>
      <c r="Q287" s="4" t="str">
        <f t="shared" si="30"/>
        <v>1-2-2-21-40-00-072</v>
      </c>
      <c r="R287" s="4" t="str">
        <f t="shared" si="29"/>
        <v>COORDINACION DE COMPRAS</v>
      </c>
    </row>
    <row r="288" spans="1:18" ht="23.25" x14ac:dyDescent="0.2">
      <c r="A288" s="1">
        <v>1</v>
      </c>
      <c r="B288" s="6" t="str">
        <f>VLOOKUP(A288,'ACTIVOS CODIGO'!A:B,2,0)</f>
        <v>ACTIVO</v>
      </c>
      <c r="C288" s="2">
        <v>2</v>
      </c>
      <c r="D288" s="7" t="str">
        <f>VLOOKUP(C288,'ACTIVOS CODIGO'!C:D,2,0)</f>
        <v>ACTIVO DE LA HACIENDA = ACTIVO NO CORRIENTE</v>
      </c>
      <c r="E288" s="3">
        <v>2</v>
      </c>
      <c r="F288" s="8" t="str">
        <f>VLOOKUP(E288,'ACTIVOS CODIGO'!E:F,2,0)</f>
        <v>ACTIVO EXIGIBLE</v>
      </c>
      <c r="G288" s="10">
        <v>214</v>
      </c>
      <c r="H288" s="10" t="str">
        <f>VLOOKUP(G288,'PUB 21'!$A$1:$B$29,2,0)</f>
        <v>BIENES  MUEBLES</v>
      </c>
      <c r="K288" s="18"/>
      <c r="L288" s="5"/>
      <c r="M288" s="27" t="str">
        <f t="shared" si="26"/>
        <v>1-2-2-21-40-00</v>
      </c>
      <c r="N288" s="27" t="str">
        <f t="shared" si="27"/>
        <v>BIENES  MUEBLES</v>
      </c>
      <c r="O288" s="4">
        <f t="shared" si="28"/>
        <v>73</v>
      </c>
      <c r="P288" s="4" t="s">
        <v>308</v>
      </c>
      <c r="Q288" s="4" t="str">
        <f t="shared" si="30"/>
        <v>1-2-2-21-40-00-073</v>
      </c>
      <c r="R288" s="4" t="str">
        <f t="shared" si="29"/>
        <v>UNIDAD DE TESORERIA</v>
      </c>
    </row>
    <row r="289" spans="1:18" ht="23.25" x14ac:dyDescent="0.2">
      <c r="A289" s="1">
        <v>1</v>
      </c>
      <c r="B289" s="6" t="str">
        <f>VLOOKUP(A289,'ACTIVOS CODIGO'!A:B,2,0)</f>
        <v>ACTIVO</v>
      </c>
      <c r="C289" s="2">
        <v>2</v>
      </c>
      <c r="D289" s="7" t="str">
        <f>VLOOKUP(C289,'ACTIVOS CODIGO'!C:D,2,0)</f>
        <v>ACTIVO DE LA HACIENDA = ACTIVO NO CORRIENTE</v>
      </c>
      <c r="E289" s="3">
        <v>2</v>
      </c>
      <c r="F289" s="8" t="str">
        <f>VLOOKUP(E289,'ACTIVOS CODIGO'!E:F,2,0)</f>
        <v>ACTIVO EXIGIBLE</v>
      </c>
      <c r="G289" s="10">
        <v>214</v>
      </c>
      <c r="H289" s="10" t="str">
        <f>VLOOKUP(G289,'PUB 21'!$A$1:$B$29,2,0)</f>
        <v>BIENES  MUEBLES</v>
      </c>
      <c r="K289" s="18"/>
      <c r="L289" s="5"/>
      <c r="M289" s="27" t="str">
        <f t="shared" si="26"/>
        <v>1-2-2-21-40-00</v>
      </c>
      <c r="N289" s="27" t="str">
        <f t="shared" si="27"/>
        <v>BIENES  MUEBLES</v>
      </c>
      <c r="O289" s="4">
        <f t="shared" si="28"/>
        <v>74</v>
      </c>
      <c r="P289" s="4" t="s">
        <v>309</v>
      </c>
      <c r="Q289" s="4" t="str">
        <f t="shared" si="30"/>
        <v>1-2-2-21-40-00-074</v>
      </c>
      <c r="R289" s="4" t="str">
        <f t="shared" si="29"/>
        <v>COORD. DE CONCILIAC. BANCARIAS</v>
      </c>
    </row>
    <row r="290" spans="1:18" ht="23.25" x14ac:dyDescent="0.2">
      <c r="A290" s="1">
        <v>1</v>
      </c>
      <c r="B290" s="6" t="str">
        <f>VLOOKUP(A290,'ACTIVOS CODIGO'!A:B,2,0)</f>
        <v>ACTIVO</v>
      </c>
      <c r="C290" s="2">
        <v>2</v>
      </c>
      <c r="D290" s="7" t="str">
        <f>VLOOKUP(C290,'ACTIVOS CODIGO'!C:D,2,0)</f>
        <v>ACTIVO DE LA HACIENDA = ACTIVO NO CORRIENTE</v>
      </c>
      <c r="E290" s="3">
        <v>2</v>
      </c>
      <c r="F290" s="8" t="str">
        <f>VLOOKUP(E290,'ACTIVOS CODIGO'!E:F,2,0)</f>
        <v>ACTIVO EXIGIBLE</v>
      </c>
      <c r="G290" s="10">
        <v>214</v>
      </c>
      <c r="H290" s="10" t="str">
        <f>VLOOKUP(G290,'PUB 21'!$A$1:$B$29,2,0)</f>
        <v>BIENES  MUEBLES</v>
      </c>
      <c r="K290" s="18"/>
      <c r="L290" s="5"/>
      <c r="M290" s="27" t="str">
        <f t="shared" si="26"/>
        <v>1-2-2-21-40-00</v>
      </c>
      <c r="N290" s="27" t="str">
        <f t="shared" si="27"/>
        <v>BIENES  MUEBLES</v>
      </c>
      <c r="O290" s="4">
        <f t="shared" si="28"/>
        <v>75</v>
      </c>
      <c r="P290" s="4" t="s">
        <v>310</v>
      </c>
      <c r="Q290" s="4" t="str">
        <f t="shared" si="30"/>
        <v>1-2-2-21-40-00-075</v>
      </c>
      <c r="R290" s="4" t="str">
        <f t="shared" si="29"/>
        <v>COORD. ANALISIS Y COLOC. FINAN</v>
      </c>
    </row>
    <row r="291" spans="1:18" ht="23.25" x14ac:dyDescent="0.2">
      <c r="A291" s="1">
        <v>1</v>
      </c>
      <c r="B291" s="6" t="str">
        <f>VLOOKUP(A291,'ACTIVOS CODIGO'!A:B,2,0)</f>
        <v>ACTIVO</v>
      </c>
      <c r="C291" s="2">
        <v>2</v>
      </c>
      <c r="D291" s="7" t="str">
        <f>VLOOKUP(C291,'ACTIVOS CODIGO'!C:D,2,0)</f>
        <v>ACTIVO DE LA HACIENDA = ACTIVO NO CORRIENTE</v>
      </c>
      <c r="E291" s="3">
        <v>2</v>
      </c>
      <c r="F291" s="8" t="str">
        <f>VLOOKUP(E291,'ACTIVOS CODIGO'!E:F,2,0)</f>
        <v>ACTIVO EXIGIBLE</v>
      </c>
      <c r="G291" s="10">
        <v>214</v>
      </c>
      <c r="H291" s="10" t="str">
        <f>VLOOKUP(G291,'PUB 21'!$A$1:$B$29,2,0)</f>
        <v>BIENES  MUEBLES</v>
      </c>
      <c r="K291" s="18"/>
      <c r="L291" s="5"/>
      <c r="M291" s="27" t="str">
        <f t="shared" si="26"/>
        <v>1-2-2-21-40-00</v>
      </c>
      <c r="N291" s="27" t="str">
        <f t="shared" si="27"/>
        <v>BIENES  MUEBLES</v>
      </c>
      <c r="O291" s="4">
        <f t="shared" si="28"/>
        <v>76</v>
      </c>
      <c r="P291" s="4" t="s">
        <v>311</v>
      </c>
      <c r="Q291" s="4" t="str">
        <f t="shared" si="30"/>
        <v>1-2-2-21-40-00-076</v>
      </c>
      <c r="R291" s="4" t="str">
        <f t="shared" si="29"/>
        <v>COORDINACION DE PAGO Y CAJA</v>
      </c>
    </row>
    <row r="292" spans="1:18" ht="23.25" x14ac:dyDescent="0.2">
      <c r="A292" s="1">
        <v>1</v>
      </c>
      <c r="B292" s="6" t="str">
        <f>VLOOKUP(A292,'ACTIVOS CODIGO'!A:B,2,0)</f>
        <v>ACTIVO</v>
      </c>
      <c r="C292" s="2">
        <v>2</v>
      </c>
      <c r="D292" s="7" t="str">
        <f>VLOOKUP(C292,'ACTIVOS CODIGO'!C:D,2,0)</f>
        <v>ACTIVO DE LA HACIENDA = ACTIVO NO CORRIENTE</v>
      </c>
      <c r="E292" s="3">
        <v>2</v>
      </c>
      <c r="F292" s="8" t="str">
        <f>VLOOKUP(E292,'ACTIVOS CODIGO'!E:F,2,0)</f>
        <v>ACTIVO EXIGIBLE</v>
      </c>
      <c r="G292" s="10">
        <v>214</v>
      </c>
      <c r="H292" s="10" t="str">
        <f>VLOOKUP(G292,'PUB 21'!$A$1:$B$29,2,0)</f>
        <v>BIENES  MUEBLES</v>
      </c>
      <c r="K292" s="18"/>
      <c r="L292" s="5"/>
      <c r="M292" s="27" t="str">
        <f t="shared" si="26"/>
        <v>1-2-2-21-40-00</v>
      </c>
      <c r="N292" s="27" t="str">
        <f t="shared" si="27"/>
        <v>BIENES  MUEBLES</v>
      </c>
      <c r="O292" s="4">
        <f t="shared" si="28"/>
        <v>77</v>
      </c>
      <c r="P292" s="4" t="s">
        <v>108</v>
      </c>
      <c r="Q292" s="4" t="str">
        <f t="shared" si="30"/>
        <v>1-2-2-21-40-00-077</v>
      </c>
      <c r="R292" s="4" t="str">
        <f t="shared" si="29"/>
        <v>UNIDAD DE CONTABILIDAD</v>
      </c>
    </row>
    <row r="293" spans="1:18" ht="23.25" x14ac:dyDescent="0.2">
      <c r="A293" s="1">
        <v>1</v>
      </c>
      <c r="B293" s="6" t="str">
        <f>VLOOKUP(A293,'ACTIVOS CODIGO'!A:B,2,0)</f>
        <v>ACTIVO</v>
      </c>
      <c r="C293" s="2">
        <v>2</v>
      </c>
      <c r="D293" s="7" t="str">
        <f>VLOOKUP(C293,'ACTIVOS CODIGO'!C:D,2,0)</f>
        <v>ACTIVO DE LA HACIENDA = ACTIVO NO CORRIENTE</v>
      </c>
      <c r="E293" s="3">
        <v>2</v>
      </c>
      <c r="F293" s="8" t="str">
        <f>VLOOKUP(E293,'ACTIVOS CODIGO'!E:F,2,0)</f>
        <v>ACTIVO EXIGIBLE</v>
      </c>
      <c r="G293" s="10">
        <v>214</v>
      </c>
      <c r="H293" s="10" t="str">
        <f>VLOOKUP(G293,'PUB 21'!$A$1:$B$29,2,0)</f>
        <v>BIENES  MUEBLES</v>
      </c>
      <c r="K293" s="18"/>
      <c r="L293" s="5"/>
      <c r="M293" s="27" t="str">
        <f t="shared" si="26"/>
        <v>1-2-2-21-40-00</v>
      </c>
      <c r="N293" s="27" t="str">
        <f t="shared" si="27"/>
        <v>BIENES  MUEBLES</v>
      </c>
      <c r="O293" s="4">
        <f t="shared" si="28"/>
        <v>78</v>
      </c>
      <c r="P293" s="4" t="s">
        <v>312</v>
      </c>
      <c r="Q293" s="4" t="str">
        <f t="shared" si="30"/>
        <v>1-2-2-21-40-00-078</v>
      </c>
      <c r="R293" s="4" t="str">
        <f t="shared" si="29"/>
        <v>COORD. DE RENDICION DE CIENTAS</v>
      </c>
    </row>
    <row r="294" spans="1:18" ht="23.25" x14ac:dyDescent="0.2">
      <c r="A294" s="1">
        <v>1</v>
      </c>
      <c r="B294" s="6" t="str">
        <f>VLOOKUP(A294,'ACTIVOS CODIGO'!A:B,2,0)</f>
        <v>ACTIVO</v>
      </c>
      <c r="C294" s="2">
        <v>2</v>
      </c>
      <c r="D294" s="7" t="str">
        <f>VLOOKUP(C294,'ACTIVOS CODIGO'!C:D,2,0)</f>
        <v>ACTIVO DE LA HACIENDA = ACTIVO NO CORRIENTE</v>
      </c>
      <c r="E294" s="3">
        <v>2</v>
      </c>
      <c r="F294" s="8" t="str">
        <f>VLOOKUP(E294,'ACTIVOS CODIGO'!E:F,2,0)</f>
        <v>ACTIVO EXIGIBLE</v>
      </c>
      <c r="G294" s="10">
        <v>214</v>
      </c>
      <c r="H294" s="10" t="str">
        <f>VLOOKUP(G294,'PUB 21'!$A$1:$B$29,2,0)</f>
        <v>BIENES  MUEBLES</v>
      </c>
      <c r="K294" s="18"/>
      <c r="L294" s="5"/>
      <c r="M294" s="27" t="str">
        <f t="shared" si="26"/>
        <v>1-2-2-21-40-00</v>
      </c>
      <c r="N294" s="27" t="str">
        <f t="shared" si="27"/>
        <v>BIENES  MUEBLES</v>
      </c>
      <c r="O294" s="4">
        <f t="shared" si="28"/>
        <v>79</v>
      </c>
      <c r="P294" s="4" t="s">
        <v>313</v>
      </c>
      <c r="Q294" s="4" t="str">
        <f t="shared" si="30"/>
        <v>1-2-2-21-40-00-079</v>
      </c>
      <c r="R294" s="4" t="str">
        <f t="shared" si="29"/>
        <v>COORD. DE CONTAB.</v>
      </c>
    </row>
    <row r="295" spans="1:18" ht="23.25" x14ac:dyDescent="0.2">
      <c r="A295" s="1">
        <v>1</v>
      </c>
      <c r="B295" s="6" t="str">
        <f>VLOOKUP(A295,'ACTIVOS CODIGO'!A:B,2,0)</f>
        <v>ACTIVO</v>
      </c>
      <c r="C295" s="2">
        <v>2</v>
      </c>
      <c r="D295" s="7" t="str">
        <f>VLOOKUP(C295,'ACTIVOS CODIGO'!C:D,2,0)</f>
        <v>ACTIVO DE LA HACIENDA = ACTIVO NO CORRIENTE</v>
      </c>
      <c r="E295" s="3">
        <v>2</v>
      </c>
      <c r="F295" s="8" t="str">
        <f>VLOOKUP(E295,'ACTIVOS CODIGO'!E:F,2,0)</f>
        <v>ACTIVO EXIGIBLE</v>
      </c>
      <c r="G295" s="10">
        <v>214</v>
      </c>
      <c r="H295" s="10" t="str">
        <f>VLOOKUP(G295,'PUB 21'!$A$1:$B$29,2,0)</f>
        <v>BIENES  MUEBLES</v>
      </c>
      <c r="K295" s="18"/>
      <c r="L295" s="5"/>
      <c r="M295" s="27" t="str">
        <f t="shared" si="26"/>
        <v>1-2-2-21-40-00</v>
      </c>
      <c r="N295" s="27" t="str">
        <f t="shared" si="27"/>
        <v>BIENES  MUEBLES</v>
      </c>
      <c r="O295" s="4">
        <f t="shared" si="28"/>
        <v>80</v>
      </c>
      <c r="P295" s="4" t="s">
        <v>314</v>
      </c>
      <c r="Q295" s="4" t="str">
        <f t="shared" si="30"/>
        <v>1-2-2-21-40-00-080</v>
      </c>
      <c r="R295" s="4" t="str">
        <f t="shared" si="29"/>
        <v>COORD. DE CONTABILIDAD FISCAL</v>
      </c>
    </row>
    <row r="296" spans="1:18" ht="23.25" x14ac:dyDescent="0.2">
      <c r="A296" s="1">
        <v>1</v>
      </c>
      <c r="B296" s="6" t="str">
        <f>VLOOKUP(A296,'ACTIVOS CODIGO'!A:B,2,0)</f>
        <v>ACTIVO</v>
      </c>
      <c r="C296" s="2">
        <v>2</v>
      </c>
      <c r="D296" s="7" t="str">
        <f>VLOOKUP(C296,'ACTIVOS CODIGO'!C:D,2,0)</f>
        <v>ACTIVO DE LA HACIENDA = ACTIVO NO CORRIENTE</v>
      </c>
      <c r="E296" s="3">
        <v>2</v>
      </c>
      <c r="F296" s="8" t="str">
        <f>VLOOKUP(E296,'ACTIVOS CODIGO'!E:F,2,0)</f>
        <v>ACTIVO EXIGIBLE</v>
      </c>
      <c r="G296" s="10">
        <v>214</v>
      </c>
      <c r="H296" s="10" t="str">
        <f>VLOOKUP(G296,'PUB 21'!$A$1:$B$29,2,0)</f>
        <v>BIENES  MUEBLES</v>
      </c>
      <c r="K296" s="18"/>
      <c r="L296" s="5"/>
      <c r="M296" s="27" t="str">
        <f t="shared" si="26"/>
        <v>1-2-2-21-40-00</v>
      </c>
      <c r="N296" s="27" t="str">
        <f t="shared" si="27"/>
        <v>BIENES  MUEBLES</v>
      </c>
      <c r="O296" s="4">
        <f t="shared" si="28"/>
        <v>81</v>
      </c>
      <c r="P296" s="4" t="s">
        <v>315</v>
      </c>
      <c r="Q296" s="4" t="str">
        <f t="shared" si="30"/>
        <v>1-2-2-21-40-00-081</v>
      </c>
      <c r="R296" s="4" t="str">
        <f t="shared" si="29"/>
        <v>COORD. DE BIENES</v>
      </c>
    </row>
    <row r="297" spans="1:18" ht="23.25" x14ac:dyDescent="0.2">
      <c r="A297" s="1">
        <v>1</v>
      </c>
      <c r="B297" s="6" t="str">
        <f>VLOOKUP(A297,'ACTIVOS CODIGO'!A:B,2,0)</f>
        <v>ACTIVO</v>
      </c>
      <c r="C297" s="2">
        <v>2</v>
      </c>
      <c r="D297" s="7" t="str">
        <f>VLOOKUP(C297,'ACTIVOS CODIGO'!C:D,2,0)</f>
        <v>ACTIVO DE LA HACIENDA = ACTIVO NO CORRIENTE</v>
      </c>
      <c r="E297" s="3">
        <v>2</v>
      </c>
      <c r="F297" s="8" t="str">
        <f>VLOOKUP(E297,'ACTIVOS CODIGO'!E:F,2,0)</f>
        <v>ACTIVO EXIGIBLE</v>
      </c>
      <c r="G297" s="10">
        <v>214</v>
      </c>
      <c r="H297" s="10" t="str">
        <f>VLOOKUP(G297,'PUB 21'!$A$1:$B$29,2,0)</f>
        <v>BIENES  MUEBLES</v>
      </c>
      <c r="K297" s="18"/>
      <c r="L297" s="5"/>
      <c r="M297" s="27" t="str">
        <f t="shared" si="26"/>
        <v>1-2-2-21-40-00</v>
      </c>
      <c r="N297" s="27" t="str">
        <f t="shared" si="27"/>
        <v>BIENES  MUEBLES</v>
      </c>
      <c r="O297" s="4">
        <f t="shared" si="28"/>
        <v>82</v>
      </c>
      <c r="P297" s="4" t="s">
        <v>316</v>
      </c>
      <c r="Q297" s="4" t="str">
        <f t="shared" si="30"/>
        <v>1-2-2-21-40-00-082</v>
      </c>
      <c r="R297" s="4" t="str">
        <f t="shared" si="29"/>
        <v>COORDINACION DE SEGURO</v>
      </c>
    </row>
    <row r="298" spans="1:18" ht="23.25" x14ac:dyDescent="0.2">
      <c r="A298" s="1">
        <v>1</v>
      </c>
      <c r="B298" s="6" t="str">
        <f>VLOOKUP(A298,'ACTIVOS CODIGO'!A:B,2,0)</f>
        <v>ACTIVO</v>
      </c>
      <c r="C298" s="2">
        <v>2</v>
      </c>
      <c r="D298" s="7" t="str">
        <f>VLOOKUP(C298,'ACTIVOS CODIGO'!C:D,2,0)</f>
        <v>ACTIVO DE LA HACIENDA = ACTIVO NO CORRIENTE</v>
      </c>
      <c r="E298" s="3">
        <v>2</v>
      </c>
      <c r="F298" s="8" t="str">
        <f>VLOOKUP(E298,'ACTIVOS CODIGO'!E:F,2,0)</f>
        <v>ACTIVO EXIGIBLE</v>
      </c>
      <c r="G298" s="10">
        <v>214</v>
      </c>
      <c r="H298" s="10" t="str">
        <f>VLOOKUP(G298,'PUB 21'!$A$1:$B$29,2,0)</f>
        <v>BIENES  MUEBLES</v>
      </c>
      <c r="K298" s="18"/>
      <c r="L298" s="5"/>
      <c r="M298" s="27" t="str">
        <f t="shared" si="26"/>
        <v>1-2-2-21-40-00</v>
      </c>
      <c r="N298" s="27" t="str">
        <f t="shared" si="27"/>
        <v>BIENES  MUEBLES</v>
      </c>
      <c r="O298" s="4">
        <f t="shared" si="28"/>
        <v>83</v>
      </c>
      <c r="P298" s="4" t="s">
        <v>317</v>
      </c>
      <c r="Q298" s="4" t="str">
        <f t="shared" si="30"/>
        <v>1-2-2-21-40-00-083</v>
      </c>
      <c r="R298" s="4" t="str">
        <f t="shared" si="29"/>
        <v>DIRECCION DE GESTION URBANA</v>
      </c>
    </row>
    <row r="299" spans="1:18" ht="23.25" x14ac:dyDescent="0.2">
      <c r="A299" s="1">
        <v>1</v>
      </c>
      <c r="B299" s="6" t="str">
        <f>VLOOKUP(A299,'ACTIVOS CODIGO'!A:B,2,0)</f>
        <v>ACTIVO</v>
      </c>
      <c r="C299" s="2">
        <v>2</v>
      </c>
      <c r="D299" s="7" t="str">
        <f>VLOOKUP(C299,'ACTIVOS CODIGO'!C:D,2,0)</f>
        <v>ACTIVO DE LA HACIENDA = ACTIVO NO CORRIENTE</v>
      </c>
      <c r="E299" s="3">
        <v>2</v>
      </c>
      <c r="F299" s="8" t="str">
        <f>VLOOKUP(E299,'ACTIVOS CODIGO'!E:F,2,0)</f>
        <v>ACTIVO EXIGIBLE</v>
      </c>
      <c r="G299" s="10">
        <v>214</v>
      </c>
      <c r="H299" s="10" t="str">
        <f>VLOOKUP(G299,'PUB 21'!$A$1:$B$29,2,0)</f>
        <v>BIENES  MUEBLES</v>
      </c>
      <c r="K299" s="18"/>
      <c r="L299" s="5"/>
      <c r="M299" s="27" t="str">
        <f t="shared" si="26"/>
        <v>1-2-2-21-40-00</v>
      </c>
      <c r="N299" s="27" t="str">
        <f t="shared" si="27"/>
        <v>BIENES  MUEBLES</v>
      </c>
      <c r="O299" s="4">
        <f t="shared" si="28"/>
        <v>84</v>
      </c>
      <c r="P299" s="4" t="s">
        <v>318</v>
      </c>
      <c r="Q299" s="4" t="str">
        <f t="shared" si="30"/>
        <v>1-2-2-21-40-00-084</v>
      </c>
      <c r="R299" s="4" t="str">
        <f t="shared" si="29"/>
        <v>GTION. GRAL. PLANIF. CONTROL</v>
      </c>
    </row>
    <row r="300" spans="1:18" ht="23.25" x14ac:dyDescent="0.2">
      <c r="A300" s="1">
        <v>1</v>
      </c>
      <c r="B300" s="6" t="str">
        <f>VLOOKUP(A300,'ACTIVOS CODIGO'!A:B,2,0)</f>
        <v>ACTIVO</v>
      </c>
      <c r="C300" s="2">
        <v>2</v>
      </c>
      <c r="D300" s="7" t="str">
        <f>VLOOKUP(C300,'ACTIVOS CODIGO'!C:D,2,0)</f>
        <v>ACTIVO DE LA HACIENDA = ACTIVO NO CORRIENTE</v>
      </c>
      <c r="E300" s="3">
        <v>2</v>
      </c>
      <c r="F300" s="8" t="str">
        <f>VLOOKUP(E300,'ACTIVOS CODIGO'!E:F,2,0)</f>
        <v>ACTIVO EXIGIBLE</v>
      </c>
      <c r="G300" s="10">
        <v>214</v>
      </c>
      <c r="H300" s="10" t="str">
        <f>VLOOKUP(G300,'PUB 21'!$A$1:$B$29,2,0)</f>
        <v>BIENES  MUEBLES</v>
      </c>
      <c r="K300" s="18"/>
      <c r="L300" s="5"/>
      <c r="M300" s="27" t="str">
        <f t="shared" si="26"/>
        <v>1-2-2-21-40-00</v>
      </c>
      <c r="N300" s="27" t="str">
        <f t="shared" si="27"/>
        <v>BIENES  MUEBLES</v>
      </c>
      <c r="O300" s="4">
        <f t="shared" si="28"/>
        <v>85</v>
      </c>
      <c r="P300" s="4" t="s">
        <v>319</v>
      </c>
      <c r="Q300" s="4" t="str">
        <f t="shared" si="30"/>
        <v>1-2-2-21-40-00-085</v>
      </c>
      <c r="R300" s="4" t="str">
        <f t="shared" si="29"/>
        <v>COORD. GRAL. OBRAS Y SERV. PUB.</v>
      </c>
    </row>
    <row r="301" spans="1:18" ht="23.25" x14ac:dyDescent="0.2">
      <c r="A301" s="1">
        <v>1</v>
      </c>
      <c r="B301" s="6" t="str">
        <f>VLOOKUP(A301,'ACTIVOS CODIGO'!A:B,2,0)</f>
        <v>ACTIVO</v>
      </c>
      <c r="C301" s="2">
        <v>2</v>
      </c>
      <c r="D301" s="7" t="str">
        <f>VLOOKUP(C301,'ACTIVOS CODIGO'!C:D,2,0)</f>
        <v>ACTIVO DE LA HACIENDA = ACTIVO NO CORRIENTE</v>
      </c>
      <c r="E301" s="3">
        <v>2</v>
      </c>
      <c r="F301" s="8" t="str">
        <f>VLOOKUP(E301,'ACTIVOS CODIGO'!E:F,2,0)</f>
        <v>ACTIVO EXIGIBLE</v>
      </c>
      <c r="G301" s="10">
        <v>214</v>
      </c>
      <c r="H301" s="10" t="str">
        <f>VLOOKUP(G301,'PUB 21'!$A$1:$B$29,2,0)</f>
        <v>BIENES  MUEBLES</v>
      </c>
      <c r="K301" s="18"/>
      <c r="L301" s="5"/>
      <c r="M301" s="27" t="str">
        <f t="shared" si="26"/>
        <v>1-2-2-21-40-00</v>
      </c>
      <c r="N301" s="27" t="str">
        <f t="shared" si="27"/>
        <v>BIENES  MUEBLES</v>
      </c>
      <c r="O301" s="4">
        <f t="shared" si="28"/>
        <v>86</v>
      </c>
      <c r="P301" s="4" t="s">
        <v>320</v>
      </c>
      <c r="Q301" s="4" t="str">
        <f t="shared" si="30"/>
        <v>1-2-2-21-40-00-086</v>
      </c>
      <c r="R301" s="4" t="str">
        <f t="shared" si="29"/>
        <v>UNIDAD DE APOYO  ADMINISTRATIVO</v>
      </c>
    </row>
    <row r="302" spans="1:18" ht="23.25" x14ac:dyDescent="0.2">
      <c r="A302" s="1">
        <v>1</v>
      </c>
      <c r="B302" s="6" t="str">
        <f>VLOOKUP(A302,'ACTIVOS CODIGO'!A:B,2,0)</f>
        <v>ACTIVO</v>
      </c>
      <c r="C302" s="2">
        <v>2</v>
      </c>
      <c r="D302" s="7" t="str">
        <f>VLOOKUP(C302,'ACTIVOS CODIGO'!C:D,2,0)</f>
        <v>ACTIVO DE LA HACIENDA = ACTIVO NO CORRIENTE</v>
      </c>
      <c r="E302" s="3">
        <v>2</v>
      </c>
      <c r="F302" s="8" t="str">
        <f>VLOOKUP(E302,'ACTIVOS CODIGO'!E:F,2,0)</f>
        <v>ACTIVO EXIGIBLE</v>
      </c>
      <c r="G302" s="10">
        <v>214</v>
      </c>
      <c r="H302" s="10" t="str">
        <f>VLOOKUP(G302,'PUB 21'!$A$1:$B$29,2,0)</f>
        <v>BIENES  MUEBLES</v>
      </c>
      <c r="K302" s="18"/>
      <c r="L302" s="5"/>
      <c r="M302" s="27" t="str">
        <f t="shared" si="26"/>
        <v>1-2-2-21-40-00</v>
      </c>
      <c r="N302" s="27" t="str">
        <f t="shared" si="27"/>
        <v>BIENES  MUEBLES</v>
      </c>
      <c r="O302" s="4">
        <f t="shared" si="28"/>
        <v>87</v>
      </c>
      <c r="P302" s="4" t="s">
        <v>321</v>
      </c>
      <c r="Q302" s="4" t="str">
        <f t="shared" si="30"/>
        <v>1-2-2-21-40-00-087</v>
      </c>
      <c r="R302" s="4" t="str">
        <f t="shared" si="29"/>
        <v>DIRECCION DE CONTROL URBANO</v>
      </c>
    </row>
    <row r="303" spans="1:18" ht="23.25" x14ac:dyDescent="0.2">
      <c r="A303" s="1">
        <v>1</v>
      </c>
      <c r="B303" s="6" t="str">
        <f>VLOOKUP(A303,'ACTIVOS CODIGO'!A:B,2,0)</f>
        <v>ACTIVO</v>
      </c>
      <c r="C303" s="2">
        <v>2</v>
      </c>
      <c r="D303" s="7" t="str">
        <f>VLOOKUP(C303,'ACTIVOS CODIGO'!C:D,2,0)</f>
        <v>ACTIVO DE LA HACIENDA = ACTIVO NO CORRIENTE</v>
      </c>
      <c r="E303" s="3">
        <v>2</v>
      </c>
      <c r="F303" s="8" t="str">
        <f>VLOOKUP(E303,'ACTIVOS CODIGO'!E:F,2,0)</f>
        <v>ACTIVO EXIGIBLE</v>
      </c>
      <c r="G303" s="10">
        <v>214</v>
      </c>
      <c r="H303" s="10" t="str">
        <f>VLOOKUP(G303,'PUB 21'!$A$1:$B$29,2,0)</f>
        <v>BIENES  MUEBLES</v>
      </c>
      <c r="K303" s="18"/>
      <c r="L303" s="5"/>
      <c r="M303" s="27" t="str">
        <f t="shared" si="26"/>
        <v>1-2-2-21-40-00</v>
      </c>
      <c r="N303" s="27" t="str">
        <f t="shared" si="27"/>
        <v>BIENES  MUEBLES</v>
      </c>
      <c r="O303" s="4">
        <f t="shared" si="28"/>
        <v>88</v>
      </c>
      <c r="P303" s="4" t="s">
        <v>322</v>
      </c>
      <c r="Q303" s="4" t="str">
        <f t="shared" si="30"/>
        <v>1-2-2-21-40-00-088</v>
      </c>
      <c r="R303" s="4" t="str">
        <f t="shared" si="29"/>
        <v>SERV. AUT. INSPECC. OBRA EDIF SAIO</v>
      </c>
    </row>
    <row r="304" spans="1:18" ht="23.25" x14ac:dyDescent="0.2">
      <c r="A304" s="1">
        <v>1</v>
      </c>
      <c r="B304" s="6" t="str">
        <f>VLOOKUP(A304,'ACTIVOS CODIGO'!A:B,2,0)</f>
        <v>ACTIVO</v>
      </c>
      <c r="C304" s="2">
        <v>2</v>
      </c>
      <c r="D304" s="7" t="str">
        <f>VLOOKUP(C304,'ACTIVOS CODIGO'!C:D,2,0)</f>
        <v>ACTIVO DE LA HACIENDA = ACTIVO NO CORRIENTE</v>
      </c>
      <c r="E304" s="3">
        <v>2</v>
      </c>
      <c r="F304" s="8" t="str">
        <f>VLOOKUP(E304,'ACTIVOS CODIGO'!E:F,2,0)</f>
        <v>ACTIVO EXIGIBLE</v>
      </c>
      <c r="G304" s="10">
        <v>214</v>
      </c>
      <c r="H304" s="10" t="str">
        <f>VLOOKUP(G304,'PUB 21'!$A$1:$B$29,2,0)</f>
        <v>BIENES  MUEBLES</v>
      </c>
      <c r="K304" s="18"/>
      <c r="L304" s="5"/>
      <c r="M304" s="27" t="str">
        <f t="shared" si="26"/>
        <v>1-2-2-21-40-00</v>
      </c>
      <c r="N304" s="27" t="str">
        <f t="shared" si="27"/>
        <v>BIENES  MUEBLES</v>
      </c>
      <c r="O304" s="4">
        <f t="shared" si="28"/>
        <v>89</v>
      </c>
      <c r="P304" s="4" t="s">
        <v>323</v>
      </c>
      <c r="Q304" s="4" t="str">
        <f t="shared" si="30"/>
        <v>1-2-2-21-40-00-089</v>
      </c>
      <c r="R304" s="4" t="str">
        <f t="shared" si="29"/>
        <v>UNID. DE CONTROL OBRAS Y CONCES</v>
      </c>
    </row>
    <row r="305" spans="1:18" ht="23.25" x14ac:dyDescent="0.2">
      <c r="A305" s="1">
        <v>1</v>
      </c>
      <c r="B305" s="6" t="str">
        <f>VLOOKUP(A305,'ACTIVOS CODIGO'!A:B,2,0)</f>
        <v>ACTIVO</v>
      </c>
      <c r="C305" s="2">
        <v>2</v>
      </c>
      <c r="D305" s="7" t="str">
        <f>VLOOKUP(C305,'ACTIVOS CODIGO'!C:D,2,0)</f>
        <v>ACTIVO DE LA HACIENDA = ACTIVO NO CORRIENTE</v>
      </c>
      <c r="E305" s="3">
        <v>2</v>
      </c>
      <c r="F305" s="8" t="str">
        <f>VLOOKUP(E305,'ACTIVOS CODIGO'!E:F,2,0)</f>
        <v>ACTIVO EXIGIBLE</v>
      </c>
      <c r="G305" s="10">
        <v>214</v>
      </c>
      <c r="H305" s="10" t="str">
        <f>VLOOKUP(G305,'PUB 21'!$A$1:$B$29,2,0)</f>
        <v>BIENES  MUEBLES</v>
      </c>
      <c r="K305" s="18"/>
      <c r="L305" s="5"/>
      <c r="M305" s="27" t="str">
        <f t="shared" si="26"/>
        <v>1-2-2-21-40-00</v>
      </c>
      <c r="N305" s="27" t="str">
        <f t="shared" si="27"/>
        <v>BIENES  MUEBLES</v>
      </c>
      <c r="O305" s="4">
        <f t="shared" si="28"/>
        <v>90</v>
      </c>
      <c r="P305" s="4" t="s">
        <v>324</v>
      </c>
      <c r="Q305" s="4" t="str">
        <f t="shared" si="30"/>
        <v>1-2-2-21-40-00-090</v>
      </c>
      <c r="R305" s="4" t="str">
        <f t="shared" si="29"/>
        <v>COORDINACION DE INSPECCION</v>
      </c>
    </row>
    <row r="306" spans="1:18" ht="23.25" x14ac:dyDescent="0.2">
      <c r="A306" s="1">
        <v>1</v>
      </c>
      <c r="B306" s="6" t="str">
        <f>VLOOKUP(A306,'ACTIVOS CODIGO'!A:B,2,0)</f>
        <v>ACTIVO</v>
      </c>
      <c r="C306" s="2">
        <v>2</v>
      </c>
      <c r="D306" s="7" t="str">
        <f>VLOOKUP(C306,'ACTIVOS CODIGO'!C:D,2,0)</f>
        <v>ACTIVO DE LA HACIENDA = ACTIVO NO CORRIENTE</v>
      </c>
      <c r="E306" s="3">
        <v>2</v>
      </c>
      <c r="F306" s="8" t="str">
        <f>VLOOKUP(E306,'ACTIVOS CODIGO'!E:F,2,0)</f>
        <v>ACTIVO EXIGIBLE</v>
      </c>
      <c r="G306" s="10">
        <v>214</v>
      </c>
      <c r="H306" s="10" t="str">
        <f>VLOOKUP(G306,'PUB 21'!$A$1:$B$29,2,0)</f>
        <v>BIENES  MUEBLES</v>
      </c>
      <c r="K306" s="18"/>
      <c r="L306" s="5"/>
      <c r="M306" s="27" t="str">
        <f t="shared" si="26"/>
        <v>1-2-2-21-40-00</v>
      </c>
      <c r="N306" s="27" t="str">
        <f t="shared" si="27"/>
        <v>BIENES  MUEBLES</v>
      </c>
      <c r="O306" s="4">
        <f t="shared" si="28"/>
        <v>91</v>
      </c>
      <c r="P306" s="4" t="s">
        <v>325</v>
      </c>
      <c r="Q306" s="4" t="str">
        <f t="shared" si="30"/>
        <v>1-2-2-21-40-00-091</v>
      </c>
      <c r="R306" s="4" t="str">
        <f t="shared" si="29"/>
        <v>COORD. DE CONCESIONES Y VIAL</v>
      </c>
    </row>
    <row r="307" spans="1:18" ht="23.25" x14ac:dyDescent="0.2">
      <c r="A307" s="1">
        <v>1</v>
      </c>
      <c r="B307" s="6" t="str">
        <f>VLOOKUP(A307,'ACTIVOS CODIGO'!A:B,2,0)</f>
        <v>ACTIVO</v>
      </c>
      <c r="C307" s="2">
        <v>2</v>
      </c>
      <c r="D307" s="7" t="str">
        <f>VLOOKUP(C307,'ACTIVOS CODIGO'!C:D,2,0)</f>
        <v>ACTIVO DE LA HACIENDA = ACTIVO NO CORRIENTE</v>
      </c>
      <c r="E307" s="3">
        <v>2</v>
      </c>
      <c r="F307" s="8" t="str">
        <f>VLOOKUP(E307,'ACTIVOS CODIGO'!E:F,2,0)</f>
        <v>ACTIVO EXIGIBLE</v>
      </c>
      <c r="G307" s="10">
        <v>214</v>
      </c>
      <c r="H307" s="10" t="str">
        <f>VLOOKUP(G307,'PUB 21'!$A$1:$B$29,2,0)</f>
        <v>BIENES  MUEBLES</v>
      </c>
      <c r="K307" s="18"/>
      <c r="L307" s="5"/>
      <c r="M307" s="27" t="str">
        <f t="shared" si="26"/>
        <v>1-2-2-21-40-00</v>
      </c>
      <c r="N307" s="27" t="str">
        <f t="shared" si="27"/>
        <v>BIENES  MUEBLES</v>
      </c>
      <c r="O307" s="4">
        <f t="shared" si="28"/>
        <v>92</v>
      </c>
      <c r="P307" s="4" t="s">
        <v>326</v>
      </c>
      <c r="Q307" s="4" t="str">
        <f t="shared" si="30"/>
        <v>1-2-2-21-40-00-092</v>
      </c>
      <c r="R307" s="4" t="str">
        <f t="shared" si="29"/>
        <v>UNIDAD DE PROTECCION AMBIENTAL</v>
      </c>
    </row>
    <row r="308" spans="1:18" ht="23.25" x14ac:dyDescent="0.2">
      <c r="A308" s="1">
        <v>1</v>
      </c>
      <c r="B308" s="6" t="str">
        <f>VLOOKUP(A308,'ACTIVOS CODIGO'!A:B,2,0)</f>
        <v>ACTIVO</v>
      </c>
      <c r="C308" s="2">
        <v>2</v>
      </c>
      <c r="D308" s="7" t="str">
        <f>VLOOKUP(C308,'ACTIVOS CODIGO'!C:D,2,0)</f>
        <v>ACTIVO DE LA HACIENDA = ACTIVO NO CORRIENTE</v>
      </c>
      <c r="E308" s="3">
        <v>2</v>
      </c>
      <c r="F308" s="8" t="str">
        <f>VLOOKUP(E308,'ACTIVOS CODIGO'!E:F,2,0)</f>
        <v>ACTIVO EXIGIBLE</v>
      </c>
      <c r="G308" s="10">
        <v>214</v>
      </c>
      <c r="H308" s="10" t="str">
        <f>VLOOKUP(G308,'PUB 21'!$A$1:$B$29,2,0)</f>
        <v>BIENES  MUEBLES</v>
      </c>
      <c r="K308" s="18"/>
      <c r="L308" s="5"/>
      <c r="M308" s="27" t="str">
        <f t="shared" si="26"/>
        <v>1-2-2-21-40-00</v>
      </c>
      <c r="N308" s="27" t="str">
        <f t="shared" si="27"/>
        <v>BIENES  MUEBLES</v>
      </c>
      <c r="O308" s="4">
        <f t="shared" si="28"/>
        <v>93</v>
      </c>
      <c r="P308" s="4" t="s">
        <v>327</v>
      </c>
      <c r="Q308" s="4" t="str">
        <f t="shared" si="30"/>
        <v>1-2-2-21-40-00-093</v>
      </c>
      <c r="R308" s="4" t="str">
        <f t="shared" si="29"/>
        <v>UNIDAD ECONOMIA INFORMAL</v>
      </c>
    </row>
    <row r="309" spans="1:18" ht="23.25" x14ac:dyDescent="0.2">
      <c r="A309" s="1">
        <v>1</v>
      </c>
      <c r="B309" s="6" t="str">
        <f>VLOOKUP(A309,'ACTIVOS CODIGO'!A:B,2,0)</f>
        <v>ACTIVO</v>
      </c>
      <c r="C309" s="2">
        <v>2</v>
      </c>
      <c r="D309" s="7" t="str">
        <f>VLOOKUP(C309,'ACTIVOS CODIGO'!C:D,2,0)</f>
        <v>ACTIVO DE LA HACIENDA = ACTIVO NO CORRIENTE</v>
      </c>
      <c r="E309" s="3">
        <v>2</v>
      </c>
      <c r="F309" s="8" t="str">
        <f>VLOOKUP(E309,'ACTIVOS CODIGO'!E:F,2,0)</f>
        <v>ACTIVO EXIGIBLE</v>
      </c>
      <c r="G309" s="10">
        <v>214</v>
      </c>
      <c r="H309" s="10" t="str">
        <f>VLOOKUP(G309,'PUB 21'!$A$1:$B$29,2,0)</f>
        <v>BIENES  MUEBLES</v>
      </c>
      <c r="K309" s="18"/>
      <c r="L309" s="5"/>
      <c r="M309" s="27" t="str">
        <f t="shared" si="26"/>
        <v>1-2-2-21-40-00</v>
      </c>
      <c r="N309" s="27" t="str">
        <f t="shared" si="27"/>
        <v>BIENES  MUEBLES</v>
      </c>
      <c r="O309" s="4">
        <f t="shared" si="28"/>
        <v>94</v>
      </c>
      <c r="P309" s="4" t="s">
        <v>328</v>
      </c>
      <c r="Q309" s="4" t="str">
        <f t="shared" si="30"/>
        <v>1-2-2-21-40-00-094</v>
      </c>
      <c r="R309" s="4" t="str">
        <f t="shared" si="29"/>
        <v>UNIDAD DE REV. Y EVAL. DE</v>
      </c>
    </row>
    <row r="310" spans="1:18" ht="23.25" x14ac:dyDescent="0.2">
      <c r="A310" s="1">
        <v>1</v>
      </c>
      <c r="B310" s="6" t="str">
        <f>VLOOKUP(A310,'ACTIVOS CODIGO'!A:B,2,0)</f>
        <v>ACTIVO</v>
      </c>
      <c r="C310" s="2">
        <v>2</v>
      </c>
      <c r="D310" s="7" t="str">
        <f>VLOOKUP(C310,'ACTIVOS CODIGO'!C:D,2,0)</f>
        <v>ACTIVO DE LA HACIENDA = ACTIVO NO CORRIENTE</v>
      </c>
      <c r="E310" s="3">
        <v>2</v>
      </c>
      <c r="F310" s="8" t="str">
        <f>VLOOKUP(E310,'ACTIVOS CODIGO'!E:F,2,0)</f>
        <v>ACTIVO EXIGIBLE</v>
      </c>
      <c r="G310" s="10">
        <v>214</v>
      </c>
      <c r="H310" s="10" t="str">
        <f>VLOOKUP(G310,'PUB 21'!$A$1:$B$29,2,0)</f>
        <v>BIENES  MUEBLES</v>
      </c>
      <c r="K310" s="18"/>
      <c r="L310" s="5"/>
      <c r="M310" s="27" t="str">
        <f t="shared" si="26"/>
        <v>1-2-2-21-40-00</v>
      </c>
      <c r="N310" s="27" t="str">
        <f t="shared" si="27"/>
        <v>BIENES  MUEBLES</v>
      </c>
      <c r="O310" s="4">
        <f t="shared" si="28"/>
        <v>95</v>
      </c>
      <c r="P310" s="4" t="s">
        <v>329</v>
      </c>
      <c r="Q310" s="4" t="str">
        <f t="shared" si="30"/>
        <v>1-2-2-21-40-00-095</v>
      </c>
      <c r="R310" s="4" t="str">
        <f t="shared" si="29"/>
        <v>UNIDAD DE DOC. Y CONFORMIDADES</v>
      </c>
    </row>
    <row r="311" spans="1:18" ht="23.25" x14ac:dyDescent="0.2">
      <c r="A311" s="1">
        <v>1</v>
      </c>
      <c r="B311" s="6" t="str">
        <f>VLOOKUP(A311,'ACTIVOS CODIGO'!A:B,2,0)</f>
        <v>ACTIVO</v>
      </c>
      <c r="C311" s="2">
        <v>2</v>
      </c>
      <c r="D311" s="7" t="str">
        <f>VLOOKUP(C311,'ACTIVOS CODIGO'!C:D,2,0)</f>
        <v>ACTIVO DE LA HACIENDA = ACTIVO NO CORRIENTE</v>
      </c>
      <c r="E311" s="3">
        <v>2</v>
      </c>
      <c r="F311" s="8" t="str">
        <f>VLOOKUP(E311,'ACTIVOS CODIGO'!E:F,2,0)</f>
        <v>ACTIVO EXIGIBLE</v>
      </c>
      <c r="G311" s="10">
        <v>214</v>
      </c>
      <c r="H311" s="10" t="str">
        <f>VLOOKUP(G311,'PUB 21'!$A$1:$B$29,2,0)</f>
        <v>BIENES  MUEBLES</v>
      </c>
      <c r="K311" s="18"/>
      <c r="L311" s="5"/>
      <c r="M311" s="27" t="str">
        <f t="shared" si="26"/>
        <v>1-2-2-21-40-00</v>
      </c>
      <c r="N311" s="27" t="str">
        <f t="shared" si="27"/>
        <v>BIENES  MUEBLES</v>
      </c>
      <c r="O311" s="4">
        <f t="shared" si="28"/>
        <v>96</v>
      </c>
      <c r="P311" s="4" t="s">
        <v>330</v>
      </c>
      <c r="Q311" s="4" t="str">
        <f t="shared" si="30"/>
        <v>1-2-2-21-40-00-096</v>
      </c>
      <c r="R311" s="4" t="str">
        <f t="shared" si="29"/>
        <v>COORD. DE PROYECTOS ESPECIALES</v>
      </c>
    </row>
    <row r="312" spans="1:18" ht="23.25" x14ac:dyDescent="0.2">
      <c r="A312" s="1">
        <v>1</v>
      </c>
      <c r="B312" s="6" t="str">
        <f>VLOOKUP(A312,'ACTIVOS CODIGO'!A:B,2,0)</f>
        <v>ACTIVO</v>
      </c>
      <c r="C312" s="2">
        <v>2</v>
      </c>
      <c r="D312" s="7" t="str">
        <f>VLOOKUP(C312,'ACTIVOS CODIGO'!C:D,2,0)</f>
        <v>ACTIVO DE LA HACIENDA = ACTIVO NO CORRIENTE</v>
      </c>
      <c r="E312" s="3">
        <v>2</v>
      </c>
      <c r="F312" s="8" t="str">
        <f>VLOOKUP(E312,'ACTIVOS CODIGO'!E:F,2,0)</f>
        <v>ACTIVO EXIGIBLE</v>
      </c>
      <c r="G312" s="10">
        <v>214</v>
      </c>
      <c r="H312" s="10" t="str">
        <f>VLOOKUP(G312,'PUB 21'!$A$1:$B$29,2,0)</f>
        <v>BIENES  MUEBLES</v>
      </c>
      <c r="K312" s="18"/>
      <c r="L312" s="5"/>
      <c r="M312" s="27" t="str">
        <f t="shared" si="26"/>
        <v>1-2-2-21-40-00</v>
      </c>
      <c r="N312" s="27" t="str">
        <f t="shared" si="27"/>
        <v>BIENES  MUEBLES</v>
      </c>
      <c r="O312" s="4">
        <f t="shared" si="28"/>
        <v>97</v>
      </c>
      <c r="P312" s="4" t="s">
        <v>331</v>
      </c>
      <c r="Q312" s="4" t="str">
        <f t="shared" si="30"/>
        <v>1-2-2-21-40-00-097</v>
      </c>
      <c r="R312" s="4" t="str">
        <f t="shared" si="29"/>
        <v>UNID. DE DOCUMENT. Y ASUNTOS LEG.</v>
      </c>
    </row>
    <row r="313" spans="1:18" ht="23.25" x14ac:dyDescent="0.2">
      <c r="A313" s="1">
        <v>1</v>
      </c>
      <c r="B313" s="6" t="str">
        <f>VLOOKUP(A313,'ACTIVOS CODIGO'!A:B,2,0)</f>
        <v>ACTIVO</v>
      </c>
      <c r="C313" s="2">
        <v>2</v>
      </c>
      <c r="D313" s="7" t="str">
        <f>VLOOKUP(C313,'ACTIVOS CODIGO'!C:D,2,0)</f>
        <v>ACTIVO DE LA HACIENDA = ACTIVO NO CORRIENTE</v>
      </c>
      <c r="E313" s="3">
        <v>2</v>
      </c>
      <c r="F313" s="8" t="str">
        <f>VLOOKUP(E313,'ACTIVOS CODIGO'!E:F,2,0)</f>
        <v>ACTIVO EXIGIBLE</v>
      </c>
      <c r="G313" s="10">
        <v>214</v>
      </c>
      <c r="H313" s="10" t="str">
        <f>VLOOKUP(G313,'PUB 21'!$A$1:$B$29,2,0)</f>
        <v>BIENES  MUEBLES</v>
      </c>
      <c r="K313" s="18"/>
      <c r="L313" s="5"/>
      <c r="M313" s="27" t="str">
        <f t="shared" si="26"/>
        <v>1-2-2-21-40-00</v>
      </c>
      <c r="N313" s="27" t="str">
        <f t="shared" si="27"/>
        <v>BIENES  MUEBLES</v>
      </c>
      <c r="O313" s="4">
        <f t="shared" si="28"/>
        <v>98</v>
      </c>
      <c r="P313" s="4" t="s">
        <v>332</v>
      </c>
      <c r="Q313" s="4" t="str">
        <f t="shared" si="30"/>
        <v>1-2-2-21-40-00-098</v>
      </c>
      <c r="R313" s="4" t="str">
        <f t="shared" si="29"/>
        <v>COORD. DE DOCUMENTACION</v>
      </c>
    </row>
    <row r="314" spans="1:18" ht="23.25" x14ac:dyDescent="0.2">
      <c r="A314" s="1">
        <v>1</v>
      </c>
      <c r="B314" s="6" t="str">
        <f>VLOOKUP(A314,'ACTIVOS CODIGO'!A:B,2,0)</f>
        <v>ACTIVO</v>
      </c>
      <c r="C314" s="2">
        <v>2</v>
      </c>
      <c r="D314" s="7" t="str">
        <f>VLOOKUP(C314,'ACTIVOS CODIGO'!C:D,2,0)</f>
        <v>ACTIVO DE LA HACIENDA = ACTIVO NO CORRIENTE</v>
      </c>
      <c r="E314" s="3">
        <v>2</v>
      </c>
      <c r="F314" s="8" t="str">
        <f>VLOOKUP(E314,'ACTIVOS CODIGO'!E:F,2,0)</f>
        <v>ACTIVO EXIGIBLE</v>
      </c>
      <c r="G314" s="10">
        <v>214</v>
      </c>
      <c r="H314" s="10" t="str">
        <f>VLOOKUP(G314,'PUB 21'!$A$1:$B$29,2,0)</f>
        <v>BIENES  MUEBLES</v>
      </c>
      <c r="K314" s="18"/>
      <c r="L314" s="5"/>
      <c r="M314" s="27" t="str">
        <f t="shared" si="26"/>
        <v>1-2-2-21-40-00</v>
      </c>
      <c r="N314" s="27" t="str">
        <f t="shared" si="27"/>
        <v>BIENES  MUEBLES</v>
      </c>
      <c r="O314" s="4">
        <f t="shared" si="28"/>
        <v>99</v>
      </c>
      <c r="P314" s="4" t="s">
        <v>333</v>
      </c>
      <c r="Q314" s="4" t="str">
        <f t="shared" si="30"/>
        <v>1-2-2-21-40-00-099</v>
      </c>
      <c r="R314" s="4" t="str">
        <f t="shared" si="29"/>
        <v>COORD. DE ASUNTOS LEGALES</v>
      </c>
    </row>
    <row r="315" spans="1:18" ht="23.25" x14ac:dyDescent="0.2">
      <c r="A315" s="1">
        <v>1</v>
      </c>
      <c r="B315" s="6" t="str">
        <f>VLOOKUP(A315,'ACTIVOS CODIGO'!A:B,2,0)</f>
        <v>ACTIVO</v>
      </c>
      <c r="C315" s="2">
        <v>2</v>
      </c>
      <c r="D315" s="7" t="str">
        <f>VLOOKUP(C315,'ACTIVOS CODIGO'!C:D,2,0)</f>
        <v>ACTIVO DE LA HACIENDA = ACTIVO NO CORRIENTE</v>
      </c>
      <c r="E315" s="3">
        <v>2</v>
      </c>
      <c r="F315" s="8" t="str">
        <f>VLOOKUP(E315,'ACTIVOS CODIGO'!E:F,2,0)</f>
        <v>ACTIVO EXIGIBLE</v>
      </c>
      <c r="G315" s="10">
        <v>214</v>
      </c>
      <c r="H315" s="10" t="str">
        <f>VLOOKUP(G315,'PUB 21'!$A$1:$B$29,2,0)</f>
        <v>BIENES  MUEBLES</v>
      </c>
      <c r="K315" s="18"/>
      <c r="L315" s="5"/>
      <c r="M315" s="27" t="str">
        <f t="shared" si="26"/>
        <v>1-2-2-21-40-00</v>
      </c>
      <c r="N315" s="27" t="str">
        <f t="shared" si="27"/>
        <v>BIENES  MUEBLES</v>
      </c>
      <c r="O315" s="4">
        <f t="shared" si="28"/>
        <v>100</v>
      </c>
      <c r="P315" s="4" t="s">
        <v>334</v>
      </c>
      <c r="Q315" s="4" t="str">
        <f t="shared" si="30"/>
        <v>1-2-2-21-40-00-100</v>
      </c>
      <c r="R315" s="4" t="str">
        <f t="shared" si="29"/>
        <v>DIRECCION DE CATASTRO MUNICIPAL</v>
      </c>
    </row>
    <row r="316" spans="1:18" ht="23.25" x14ac:dyDescent="0.2">
      <c r="A316" s="1">
        <v>1</v>
      </c>
      <c r="B316" s="6" t="str">
        <f>VLOOKUP(A316,'ACTIVOS CODIGO'!A:B,2,0)</f>
        <v>ACTIVO</v>
      </c>
      <c r="C316" s="2">
        <v>2</v>
      </c>
      <c r="D316" s="7" t="str">
        <f>VLOOKUP(C316,'ACTIVOS CODIGO'!C:D,2,0)</f>
        <v>ACTIVO DE LA HACIENDA = ACTIVO NO CORRIENTE</v>
      </c>
      <c r="E316" s="3">
        <v>2</v>
      </c>
      <c r="F316" s="8" t="str">
        <f>VLOOKUP(E316,'ACTIVOS CODIGO'!E:F,2,0)</f>
        <v>ACTIVO EXIGIBLE</v>
      </c>
      <c r="G316" s="10">
        <v>214</v>
      </c>
      <c r="H316" s="10" t="str">
        <f>VLOOKUP(G316,'PUB 21'!$A$1:$B$29,2,0)</f>
        <v>BIENES  MUEBLES</v>
      </c>
      <c r="K316" s="18"/>
      <c r="L316" s="5"/>
      <c r="M316" s="27" t="str">
        <f t="shared" ref="M316:M375" si="31">CONCATENATE(TEXT(A316,"0"),"-",TEXT(C316,"0"),"-",TEXT(E316,"0"),"-",TEXT(LEFT(G316,2),"00"),"-",TEXT(RIGHT(G316,1),"0"),TEXT(I316,"0"),"-",TEXT(K316,"00"))</f>
        <v>1-2-2-21-40-00</v>
      </c>
      <c r="N316" s="27" t="str">
        <f t="shared" ref="N316:N375" si="32">IF(L316="",IF(J316="",IF(H316="",IF(F316="",IF(D316="",B316,D316),F316),H316),J316),L316)</f>
        <v>BIENES  MUEBLES</v>
      </c>
      <c r="O316" s="4">
        <f t="shared" si="28"/>
        <v>101</v>
      </c>
      <c r="P316" s="4" t="s">
        <v>335</v>
      </c>
      <c r="Q316" s="4" t="str">
        <f t="shared" si="30"/>
        <v>1-2-2-21-40-00-101</v>
      </c>
      <c r="R316" s="4" t="str">
        <f t="shared" si="29"/>
        <v>UND. ASENTAMIENTO URBANO POPUL</v>
      </c>
    </row>
    <row r="317" spans="1:18" ht="23.25" x14ac:dyDescent="0.2">
      <c r="A317" s="1">
        <v>1</v>
      </c>
      <c r="B317" s="6" t="str">
        <f>VLOOKUP(A317,'ACTIVOS CODIGO'!A:B,2,0)</f>
        <v>ACTIVO</v>
      </c>
      <c r="C317" s="2">
        <v>2</v>
      </c>
      <c r="D317" s="7" t="str">
        <f>VLOOKUP(C317,'ACTIVOS CODIGO'!C:D,2,0)</f>
        <v>ACTIVO DE LA HACIENDA = ACTIVO NO CORRIENTE</v>
      </c>
      <c r="E317" s="3">
        <v>2</v>
      </c>
      <c r="F317" s="8" t="str">
        <f>VLOOKUP(E317,'ACTIVOS CODIGO'!E:F,2,0)</f>
        <v>ACTIVO EXIGIBLE</v>
      </c>
      <c r="G317" s="10">
        <v>214</v>
      </c>
      <c r="H317" s="10" t="str">
        <f>VLOOKUP(G317,'PUB 21'!$A$1:$B$29,2,0)</f>
        <v>BIENES  MUEBLES</v>
      </c>
      <c r="K317" s="18"/>
      <c r="L317" s="5"/>
      <c r="M317" s="27" t="str">
        <f t="shared" si="31"/>
        <v>1-2-2-21-40-00</v>
      </c>
      <c r="N317" s="27" t="str">
        <f t="shared" si="32"/>
        <v>BIENES  MUEBLES</v>
      </c>
      <c r="O317" s="4">
        <f t="shared" si="28"/>
        <v>102</v>
      </c>
      <c r="P317" s="4" t="s">
        <v>336</v>
      </c>
      <c r="Q317" s="4" t="str">
        <f t="shared" si="30"/>
        <v>1-2-2-21-40-00-102</v>
      </c>
      <c r="R317" s="4" t="str">
        <f t="shared" si="29"/>
        <v>COORD. JURIDICA E INVERSION</v>
      </c>
    </row>
    <row r="318" spans="1:18" ht="23.25" x14ac:dyDescent="0.2">
      <c r="A318" s="1">
        <v>1</v>
      </c>
      <c r="B318" s="6" t="str">
        <f>VLOOKUP(A318,'ACTIVOS CODIGO'!A:B,2,0)</f>
        <v>ACTIVO</v>
      </c>
      <c r="C318" s="2">
        <v>2</v>
      </c>
      <c r="D318" s="7" t="str">
        <f>VLOOKUP(C318,'ACTIVOS CODIGO'!C:D,2,0)</f>
        <v>ACTIVO DE LA HACIENDA = ACTIVO NO CORRIENTE</v>
      </c>
      <c r="E318" s="3">
        <v>2</v>
      </c>
      <c r="F318" s="8" t="str">
        <f>VLOOKUP(E318,'ACTIVOS CODIGO'!E:F,2,0)</f>
        <v>ACTIVO EXIGIBLE</v>
      </c>
      <c r="G318" s="10">
        <v>214</v>
      </c>
      <c r="H318" s="10" t="str">
        <f>VLOOKUP(G318,'PUB 21'!$A$1:$B$29,2,0)</f>
        <v>BIENES  MUEBLES</v>
      </c>
      <c r="K318" s="18"/>
      <c r="L318" s="5"/>
      <c r="M318" s="27" t="str">
        <f t="shared" si="31"/>
        <v>1-2-2-21-40-00</v>
      </c>
      <c r="N318" s="27" t="str">
        <f t="shared" si="32"/>
        <v>BIENES  MUEBLES</v>
      </c>
      <c r="O318" s="4">
        <f t="shared" si="28"/>
        <v>103</v>
      </c>
      <c r="P318" s="4" t="s">
        <v>337</v>
      </c>
      <c r="Q318" s="4" t="str">
        <f t="shared" si="30"/>
        <v>1-2-2-21-40-00-103</v>
      </c>
      <c r="R318" s="4" t="str">
        <f t="shared" si="29"/>
        <v>COORD. ASISTENCIA TECNICA DIGIT</v>
      </c>
    </row>
    <row r="319" spans="1:18" ht="23.25" x14ac:dyDescent="0.2">
      <c r="A319" s="1">
        <v>1</v>
      </c>
      <c r="B319" s="6" t="str">
        <f>VLOOKUP(A319,'ACTIVOS CODIGO'!A:B,2,0)</f>
        <v>ACTIVO</v>
      </c>
      <c r="C319" s="2">
        <v>2</v>
      </c>
      <c r="D319" s="7" t="str">
        <f>VLOOKUP(C319,'ACTIVOS CODIGO'!C:D,2,0)</f>
        <v>ACTIVO DE LA HACIENDA = ACTIVO NO CORRIENTE</v>
      </c>
      <c r="E319" s="3">
        <v>2</v>
      </c>
      <c r="F319" s="8" t="str">
        <f>VLOOKUP(E319,'ACTIVOS CODIGO'!E:F,2,0)</f>
        <v>ACTIVO EXIGIBLE</v>
      </c>
      <c r="G319" s="10">
        <v>214</v>
      </c>
      <c r="H319" s="10" t="str">
        <f>VLOOKUP(G319,'PUB 21'!$A$1:$B$29,2,0)</f>
        <v>BIENES  MUEBLES</v>
      </c>
      <c r="K319" s="18"/>
      <c r="L319" s="5"/>
      <c r="M319" s="27" t="str">
        <f t="shared" si="31"/>
        <v>1-2-2-21-40-00</v>
      </c>
      <c r="N319" s="27" t="str">
        <f t="shared" si="32"/>
        <v>BIENES  MUEBLES</v>
      </c>
      <c r="O319" s="4">
        <f t="shared" si="28"/>
        <v>104</v>
      </c>
      <c r="P319" s="4" t="s">
        <v>338</v>
      </c>
      <c r="Q319" s="4" t="str">
        <f t="shared" si="30"/>
        <v>1-2-2-21-40-00-104</v>
      </c>
      <c r="R319" s="4" t="str">
        <f t="shared" si="29"/>
        <v>UNIDAD DE DOCUMENT. CATASTRAL</v>
      </c>
    </row>
    <row r="320" spans="1:18" ht="23.25" x14ac:dyDescent="0.2">
      <c r="A320" s="1">
        <v>1</v>
      </c>
      <c r="B320" s="6" t="str">
        <f>VLOOKUP(A320,'ACTIVOS CODIGO'!A:B,2,0)</f>
        <v>ACTIVO</v>
      </c>
      <c r="C320" s="2">
        <v>2</v>
      </c>
      <c r="D320" s="7" t="str">
        <f>VLOOKUP(C320,'ACTIVOS CODIGO'!C:D,2,0)</f>
        <v>ACTIVO DE LA HACIENDA = ACTIVO NO CORRIENTE</v>
      </c>
      <c r="E320" s="3">
        <v>2</v>
      </c>
      <c r="F320" s="8" t="str">
        <f>VLOOKUP(E320,'ACTIVOS CODIGO'!E:F,2,0)</f>
        <v>ACTIVO EXIGIBLE</v>
      </c>
      <c r="G320" s="10">
        <v>214</v>
      </c>
      <c r="H320" s="10" t="str">
        <f>VLOOKUP(G320,'PUB 21'!$A$1:$B$29,2,0)</f>
        <v>BIENES  MUEBLES</v>
      </c>
      <c r="K320" s="18"/>
      <c r="L320" s="5"/>
      <c r="M320" s="27" t="str">
        <f t="shared" si="31"/>
        <v>1-2-2-21-40-00</v>
      </c>
      <c r="N320" s="27" t="str">
        <f t="shared" si="32"/>
        <v>BIENES  MUEBLES</v>
      </c>
      <c r="O320" s="4">
        <f t="shared" si="28"/>
        <v>105</v>
      </c>
      <c r="P320" s="4" t="s">
        <v>339</v>
      </c>
      <c r="Q320" s="4" t="str">
        <f t="shared" si="30"/>
        <v>1-2-2-21-40-00-105</v>
      </c>
      <c r="R320" s="4" t="str">
        <f t="shared" si="29"/>
        <v>COORD. INFORMC. CATAST. URB.</v>
      </c>
    </row>
    <row r="321" spans="1:18" ht="23.25" x14ac:dyDescent="0.2">
      <c r="A321" s="1">
        <v>1</v>
      </c>
      <c r="B321" s="6" t="str">
        <f>VLOOKUP(A321,'ACTIVOS CODIGO'!A:B,2,0)</f>
        <v>ACTIVO</v>
      </c>
      <c r="C321" s="2">
        <v>2</v>
      </c>
      <c r="D321" s="7" t="str">
        <f>VLOOKUP(C321,'ACTIVOS CODIGO'!C:D,2,0)</f>
        <v>ACTIVO DE LA HACIENDA = ACTIVO NO CORRIENTE</v>
      </c>
      <c r="E321" s="3">
        <v>2</v>
      </c>
      <c r="F321" s="8" t="str">
        <f>VLOOKUP(E321,'ACTIVOS CODIGO'!E:F,2,0)</f>
        <v>ACTIVO EXIGIBLE</v>
      </c>
      <c r="G321" s="10">
        <v>214</v>
      </c>
      <c r="H321" s="10" t="str">
        <f>VLOOKUP(G321,'PUB 21'!$A$1:$B$29,2,0)</f>
        <v>BIENES  MUEBLES</v>
      </c>
      <c r="K321" s="18"/>
      <c r="L321" s="5"/>
      <c r="M321" s="27" t="str">
        <f t="shared" si="31"/>
        <v>1-2-2-21-40-00</v>
      </c>
      <c r="N321" s="27" t="str">
        <f t="shared" si="32"/>
        <v>BIENES  MUEBLES</v>
      </c>
      <c r="O321" s="4">
        <f t="shared" si="28"/>
        <v>106</v>
      </c>
      <c r="P321" s="4" t="s">
        <v>340</v>
      </c>
      <c r="Q321" s="4" t="str">
        <f t="shared" si="30"/>
        <v>1-2-2-21-40-00-106</v>
      </c>
      <c r="R321" s="4" t="str">
        <f t="shared" si="29"/>
        <v>COORD. DE PROCESAMIENTO DATOS</v>
      </c>
    </row>
    <row r="322" spans="1:18" ht="23.25" x14ac:dyDescent="0.2">
      <c r="A322" s="1">
        <v>1</v>
      </c>
      <c r="B322" s="6" t="str">
        <f>VLOOKUP(A322,'ACTIVOS CODIGO'!A:B,2,0)</f>
        <v>ACTIVO</v>
      </c>
      <c r="C322" s="2">
        <v>2</v>
      </c>
      <c r="D322" s="7" t="str">
        <f>VLOOKUP(C322,'ACTIVOS CODIGO'!C:D,2,0)</f>
        <v>ACTIVO DE LA HACIENDA = ACTIVO NO CORRIENTE</v>
      </c>
      <c r="E322" s="3">
        <v>2</v>
      </c>
      <c r="F322" s="8" t="str">
        <f>VLOOKUP(E322,'ACTIVOS CODIGO'!E:F,2,0)</f>
        <v>ACTIVO EXIGIBLE</v>
      </c>
      <c r="G322" s="10">
        <v>214</v>
      </c>
      <c r="H322" s="10" t="str">
        <f>VLOOKUP(G322,'PUB 21'!$A$1:$B$29,2,0)</f>
        <v>BIENES  MUEBLES</v>
      </c>
      <c r="K322" s="18"/>
      <c r="L322" s="5"/>
      <c r="M322" s="27" t="str">
        <f t="shared" si="31"/>
        <v>1-2-2-21-40-00</v>
      </c>
      <c r="N322" s="27" t="str">
        <f t="shared" si="32"/>
        <v>BIENES  MUEBLES</v>
      </c>
      <c r="O322" s="4">
        <f t="shared" si="28"/>
        <v>107</v>
      </c>
      <c r="P322" s="4" t="s">
        <v>341</v>
      </c>
      <c r="Q322" s="4" t="str">
        <f t="shared" si="30"/>
        <v>1-2-2-21-40-00-107</v>
      </c>
      <c r="R322" s="4" t="str">
        <f t="shared" si="29"/>
        <v>UNIDAD DE CATASTRO</v>
      </c>
    </row>
    <row r="323" spans="1:18" ht="23.25" x14ac:dyDescent="0.2">
      <c r="A323" s="1">
        <v>1</v>
      </c>
      <c r="B323" s="6" t="str">
        <f>VLOOKUP(A323,'ACTIVOS CODIGO'!A:B,2,0)</f>
        <v>ACTIVO</v>
      </c>
      <c r="C323" s="2">
        <v>2</v>
      </c>
      <c r="D323" s="7" t="str">
        <f>VLOOKUP(C323,'ACTIVOS CODIGO'!C:D,2,0)</f>
        <v>ACTIVO DE LA HACIENDA = ACTIVO NO CORRIENTE</v>
      </c>
      <c r="E323" s="3">
        <v>2</v>
      </c>
      <c r="F323" s="8" t="str">
        <f>VLOOKUP(E323,'ACTIVOS CODIGO'!E:F,2,0)</f>
        <v>ACTIVO EXIGIBLE</v>
      </c>
      <c r="G323" s="10">
        <v>214</v>
      </c>
      <c r="H323" s="10" t="str">
        <f>VLOOKUP(G323,'PUB 21'!$A$1:$B$29,2,0)</f>
        <v>BIENES  MUEBLES</v>
      </c>
      <c r="K323" s="18"/>
      <c r="L323" s="5"/>
      <c r="M323" s="27" t="str">
        <f t="shared" si="31"/>
        <v>1-2-2-21-40-00</v>
      </c>
      <c r="N323" s="27" t="str">
        <f t="shared" si="32"/>
        <v>BIENES  MUEBLES</v>
      </c>
      <c r="O323" s="4">
        <f t="shared" si="28"/>
        <v>108</v>
      </c>
      <c r="P323" s="4" t="s">
        <v>342</v>
      </c>
      <c r="Q323" s="4" t="str">
        <f t="shared" si="30"/>
        <v>1-2-2-21-40-00-108</v>
      </c>
      <c r="R323" s="4" t="str">
        <f t="shared" si="29"/>
        <v>COORD. DE INMUEBLES MUNICIPALES</v>
      </c>
    </row>
    <row r="324" spans="1:18" ht="23.25" x14ac:dyDescent="0.2">
      <c r="A324" s="1">
        <v>1</v>
      </c>
      <c r="B324" s="6" t="str">
        <f>VLOOKUP(A324,'ACTIVOS CODIGO'!A:B,2,0)</f>
        <v>ACTIVO</v>
      </c>
      <c r="C324" s="2">
        <v>2</v>
      </c>
      <c r="D324" s="7" t="str">
        <f>VLOOKUP(C324,'ACTIVOS CODIGO'!C:D,2,0)</f>
        <v>ACTIVO DE LA HACIENDA = ACTIVO NO CORRIENTE</v>
      </c>
      <c r="E324" s="3">
        <v>2</v>
      </c>
      <c r="F324" s="8" t="str">
        <f>VLOOKUP(E324,'ACTIVOS CODIGO'!E:F,2,0)</f>
        <v>ACTIVO EXIGIBLE</v>
      </c>
      <c r="G324" s="10">
        <v>214</v>
      </c>
      <c r="H324" s="10" t="str">
        <f>VLOOKUP(G324,'PUB 21'!$A$1:$B$29,2,0)</f>
        <v>BIENES  MUEBLES</v>
      </c>
      <c r="K324" s="18"/>
      <c r="L324" s="5"/>
      <c r="M324" s="27" t="str">
        <f t="shared" si="31"/>
        <v>1-2-2-21-40-00</v>
      </c>
      <c r="N324" s="27" t="str">
        <f t="shared" si="32"/>
        <v>BIENES  MUEBLES</v>
      </c>
      <c r="O324" s="4">
        <f t="shared" ref="O324:O388" si="33">IF(P324="",0,IF(M323=M324,IF(O323="",0,O323)+1,""))</f>
        <v>109</v>
      </c>
      <c r="P324" s="4" t="s">
        <v>343</v>
      </c>
      <c r="Q324" s="4" t="str">
        <f t="shared" si="30"/>
        <v>1-2-2-21-40-00-109</v>
      </c>
      <c r="R324" s="4" t="str">
        <f t="shared" ref="R324:R387" si="34">IF(P324="",IF(L324="",IF(J324="",IF(H324="",IF(F324="",IF(D324="",B324,D324),F324),H324),J324),L324),P324)</f>
        <v>COORD. DE ATENC. CONT. Y SEGUIM.</v>
      </c>
    </row>
    <row r="325" spans="1:18" ht="23.25" x14ac:dyDescent="0.2">
      <c r="A325" s="1">
        <v>1</v>
      </c>
      <c r="B325" s="6" t="str">
        <f>VLOOKUP(A325,'ACTIVOS CODIGO'!A:B,2,0)</f>
        <v>ACTIVO</v>
      </c>
      <c r="C325" s="2">
        <v>2</v>
      </c>
      <c r="D325" s="7" t="str">
        <f>VLOOKUP(C325,'ACTIVOS CODIGO'!C:D,2,0)</f>
        <v>ACTIVO DE LA HACIENDA = ACTIVO NO CORRIENTE</v>
      </c>
      <c r="E325" s="3">
        <v>2</v>
      </c>
      <c r="F325" s="8" t="str">
        <f>VLOOKUP(E325,'ACTIVOS CODIGO'!E:F,2,0)</f>
        <v>ACTIVO EXIGIBLE</v>
      </c>
      <c r="G325" s="10">
        <v>214</v>
      </c>
      <c r="H325" s="10" t="str">
        <f>VLOOKUP(G325,'PUB 21'!$A$1:$B$29,2,0)</f>
        <v>BIENES  MUEBLES</v>
      </c>
      <c r="K325" s="18"/>
      <c r="L325" s="5"/>
      <c r="M325" s="27" t="str">
        <f t="shared" si="31"/>
        <v>1-2-2-21-40-00</v>
      </c>
      <c r="N325" s="27" t="str">
        <f t="shared" si="32"/>
        <v>BIENES  MUEBLES</v>
      </c>
      <c r="O325" s="4">
        <f t="shared" si="33"/>
        <v>110</v>
      </c>
      <c r="P325" s="4" t="s">
        <v>344</v>
      </c>
      <c r="Q325" s="4" t="str">
        <f t="shared" ref="Q325:Q388" si="35">CONCATENATE(TEXT(A325,"0"),"-",TEXT(C325,"0"),"-",TEXT(E325,"0"),"-",TEXT(LEFT(G325,2),"00"),"-",TEXT(RIGHT(G325,1),"0"),TEXT(I325,"0"),"-",TEXT(K325,"00"),"-",TEXT(O325,"000"))</f>
        <v>1-2-2-21-40-00-110</v>
      </c>
      <c r="R325" s="4" t="str">
        <f t="shared" si="34"/>
        <v>COORD. DE INSPEC. Y CALCULO</v>
      </c>
    </row>
    <row r="326" spans="1:18" ht="23.25" x14ac:dyDescent="0.2">
      <c r="A326" s="1">
        <v>1</v>
      </c>
      <c r="B326" s="6" t="str">
        <f>VLOOKUP(A326,'ACTIVOS CODIGO'!A:B,2,0)</f>
        <v>ACTIVO</v>
      </c>
      <c r="C326" s="2">
        <v>2</v>
      </c>
      <c r="D326" s="7" t="str">
        <f>VLOOKUP(C326,'ACTIVOS CODIGO'!C:D,2,0)</f>
        <v>ACTIVO DE LA HACIENDA = ACTIVO NO CORRIENTE</v>
      </c>
      <c r="E326" s="3">
        <v>2</v>
      </c>
      <c r="F326" s="8" t="str">
        <f>VLOOKUP(E326,'ACTIVOS CODIGO'!E:F,2,0)</f>
        <v>ACTIVO EXIGIBLE</v>
      </c>
      <c r="G326" s="10">
        <v>214</v>
      </c>
      <c r="H326" s="10" t="str">
        <f>VLOOKUP(G326,'PUB 21'!$A$1:$B$29,2,0)</f>
        <v>BIENES  MUEBLES</v>
      </c>
      <c r="K326" s="18"/>
      <c r="L326" s="5"/>
      <c r="M326" s="27" t="str">
        <f t="shared" si="31"/>
        <v>1-2-2-21-40-00</v>
      </c>
      <c r="N326" s="27" t="str">
        <f t="shared" si="32"/>
        <v>BIENES  MUEBLES</v>
      </c>
      <c r="O326" s="4">
        <f t="shared" si="33"/>
        <v>111</v>
      </c>
      <c r="P326" s="4" t="s">
        <v>345</v>
      </c>
      <c r="Q326" s="4" t="str">
        <f t="shared" si="35"/>
        <v>1-2-2-21-40-00-111</v>
      </c>
      <c r="R326" s="4" t="str">
        <f t="shared" si="34"/>
        <v>DIREC. EJEC.OBRAS Y CONSERV. AMB</v>
      </c>
    </row>
    <row r="327" spans="1:18" ht="23.25" x14ac:dyDescent="0.2">
      <c r="A327" s="1">
        <v>1</v>
      </c>
      <c r="B327" s="6" t="str">
        <f>VLOOKUP(A327,'ACTIVOS CODIGO'!A:B,2,0)</f>
        <v>ACTIVO</v>
      </c>
      <c r="C327" s="2">
        <v>2</v>
      </c>
      <c r="D327" s="7" t="str">
        <f>VLOOKUP(C327,'ACTIVOS CODIGO'!C:D,2,0)</f>
        <v>ACTIVO DE LA HACIENDA = ACTIVO NO CORRIENTE</v>
      </c>
      <c r="E327" s="3">
        <v>2</v>
      </c>
      <c r="F327" s="8" t="str">
        <f>VLOOKUP(E327,'ACTIVOS CODIGO'!E:F,2,0)</f>
        <v>ACTIVO EXIGIBLE</v>
      </c>
      <c r="G327" s="10">
        <v>214</v>
      </c>
      <c r="H327" s="10" t="str">
        <f>VLOOKUP(G327,'PUB 21'!$A$1:$B$29,2,0)</f>
        <v>BIENES  MUEBLES</v>
      </c>
      <c r="K327" s="18"/>
      <c r="L327" s="5"/>
      <c r="M327" s="27" t="str">
        <f t="shared" si="31"/>
        <v>1-2-2-21-40-00</v>
      </c>
      <c r="N327" s="27" t="str">
        <f t="shared" si="32"/>
        <v>BIENES  MUEBLES</v>
      </c>
      <c r="O327" s="4">
        <f t="shared" si="33"/>
        <v>112</v>
      </c>
      <c r="P327" s="4" t="s">
        <v>346</v>
      </c>
      <c r="Q327" s="4" t="str">
        <f t="shared" si="35"/>
        <v>1-2-2-21-40-00-112</v>
      </c>
      <c r="R327" s="4" t="str">
        <f t="shared" si="34"/>
        <v>UNIDAD DE PLANES Y PROYECTOS</v>
      </c>
    </row>
    <row r="328" spans="1:18" ht="23.25" x14ac:dyDescent="0.2">
      <c r="A328" s="1">
        <v>1</v>
      </c>
      <c r="B328" s="6" t="str">
        <f>VLOOKUP(A328,'ACTIVOS CODIGO'!A:B,2,0)</f>
        <v>ACTIVO</v>
      </c>
      <c r="C328" s="2">
        <v>2</v>
      </c>
      <c r="D328" s="7" t="str">
        <f>VLOOKUP(C328,'ACTIVOS CODIGO'!C:D,2,0)</f>
        <v>ACTIVO DE LA HACIENDA = ACTIVO NO CORRIENTE</v>
      </c>
      <c r="E328" s="3">
        <v>2</v>
      </c>
      <c r="F328" s="8" t="str">
        <f>VLOOKUP(E328,'ACTIVOS CODIGO'!E:F,2,0)</f>
        <v>ACTIVO EXIGIBLE</v>
      </c>
      <c r="G328" s="10">
        <v>214</v>
      </c>
      <c r="H328" s="10" t="str">
        <f>VLOOKUP(G328,'PUB 21'!$A$1:$B$29,2,0)</f>
        <v>BIENES  MUEBLES</v>
      </c>
      <c r="K328" s="18"/>
      <c r="L328" s="5"/>
      <c r="M328" s="27" t="str">
        <f t="shared" si="31"/>
        <v>1-2-2-21-40-00</v>
      </c>
      <c r="N328" s="27" t="str">
        <f t="shared" si="32"/>
        <v>BIENES  MUEBLES</v>
      </c>
      <c r="O328" s="4">
        <f t="shared" si="33"/>
        <v>113</v>
      </c>
      <c r="P328" s="4" t="s">
        <v>347</v>
      </c>
      <c r="Q328" s="4" t="str">
        <f t="shared" si="35"/>
        <v>1-2-2-21-40-00-113</v>
      </c>
      <c r="R328" s="4" t="str">
        <f t="shared" si="34"/>
        <v>COORD. DE ELABORACION Y PROTEC.</v>
      </c>
    </row>
    <row r="329" spans="1:18" ht="23.25" x14ac:dyDescent="0.2">
      <c r="A329" s="1">
        <v>1</v>
      </c>
      <c r="B329" s="6" t="str">
        <f>VLOOKUP(A329,'ACTIVOS CODIGO'!A:B,2,0)</f>
        <v>ACTIVO</v>
      </c>
      <c r="C329" s="2">
        <v>2</v>
      </c>
      <c r="D329" s="7" t="str">
        <f>VLOOKUP(C329,'ACTIVOS CODIGO'!C:D,2,0)</f>
        <v>ACTIVO DE LA HACIENDA = ACTIVO NO CORRIENTE</v>
      </c>
      <c r="E329" s="3">
        <v>2</v>
      </c>
      <c r="F329" s="8" t="str">
        <f>VLOOKUP(E329,'ACTIVOS CODIGO'!E:F,2,0)</f>
        <v>ACTIVO EXIGIBLE</v>
      </c>
      <c r="G329" s="10">
        <v>214</v>
      </c>
      <c r="H329" s="10" t="str">
        <f>VLOOKUP(G329,'PUB 21'!$A$1:$B$29,2,0)</f>
        <v>BIENES  MUEBLES</v>
      </c>
      <c r="K329" s="18"/>
      <c r="L329" s="5"/>
      <c r="M329" s="27" t="str">
        <f t="shared" si="31"/>
        <v>1-2-2-21-40-00</v>
      </c>
      <c r="N329" s="27" t="str">
        <f t="shared" si="32"/>
        <v>BIENES  MUEBLES</v>
      </c>
      <c r="O329" s="4">
        <f t="shared" si="33"/>
        <v>114</v>
      </c>
      <c r="P329" s="4" t="s">
        <v>348</v>
      </c>
      <c r="Q329" s="4" t="str">
        <f t="shared" si="35"/>
        <v>1-2-2-21-40-00-114</v>
      </c>
      <c r="R329" s="4" t="str">
        <f t="shared" si="34"/>
        <v>COORD. DE CONTROL DE PROYECTOS</v>
      </c>
    </row>
    <row r="330" spans="1:18" ht="23.25" x14ac:dyDescent="0.2">
      <c r="A330" s="1">
        <v>1</v>
      </c>
      <c r="B330" s="6" t="str">
        <f>VLOOKUP(A330,'ACTIVOS CODIGO'!A:B,2,0)</f>
        <v>ACTIVO</v>
      </c>
      <c r="C330" s="2">
        <v>2</v>
      </c>
      <c r="D330" s="7" t="str">
        <f>VLOOKUP(C330,'ACTIVOS CODIGO'!C:D,2,0)</f>
        <v>ACTIVO DE LA HACIENDA = ACTIVO NO CORRIENTE</v>
      </c>
      <c r="E330" s="3">
        <v>2</v>
      </c>
      <c r="F330" s="8" t="str">
        <f>VLOOKUP(E330,'ACTIVOS CODIGO'!E:F,2,0)</f>
        <v>ACTIVO EXIGIBLE</v>
      </c>
      <c r="G330" s="10">
        <v>214</v>
      </c>
      <c r="H330" s="10" t="str">
        <f>VLOOKUP(G330,'PUB 21'!$A$1:$B$29,2,0)</f>
        <v>BIENES  MUEBLES</v>
      </c>
      <c r="K330" s="18"/>
      <c r="L330" s="5"/>
      <c r="M330" s="27" t="str">
        <f t="shared" si="31"/>
        <v>1-2-2-21-40-00</v>
      </c>
      <c r="N330" s="27" t="str">
        <f t="shared" si="32"/>
        <v>BIENES  MUEBLES</v>
      </c>
      <c r="O330" s="4">
        <f t="shared" si="33"/>
        <v>115</v>
      </c>
      <c r="P330" s="4" t="s">
        <v>349</v>
      </c>
      <c r="Q330" s="4" t="str">
        <f t="shared" si="35"/>
        <v>1-2-2-21-40-00-115</v>
      </c>
      <c r="R330" s="4" t="str">
        <f t="shared" si="34"/>
        <v>UNIDAD DE CONTRATACION</v>
      </c>
    </row>
    <row r="331" spans="1:18" ht="23.25" x14ac:dyDescent="0.2">
      <c r="A331" s="1">
        <v>1</v>
      </c>
      <c r="B331" s="6" t="str">
        <f>VLOOKUP(A331,'ACTIVOS CODIGO'!A:B,2,0)</f>
        <v>ACTIVO</v>
      </c>
      <c r="C331" s="2">
        <v>2</v>
      </c>
      <c r="D331" s="7" t="str">
        <f>VLOOKUP(C331,'ACTIVOS CODIGO'!C:D,2,0)</f>
        <v>ACTIVO DE LA HACIENDA = ACTIVO NO CORRIENTE</v>
      </c>
      <c r="E331" s="3">
        <v>2</v>
      </c>
      <c r="F331" s="8" t="str">
        <f>VLOOKUP(E331,'ACTIVOS CODIGO'!E:F,2,0)</f>
        <v>ACTIVO EXIGIBLE</v>
      </c>
      <c r="G331" s="10">
        <v>214</v>
      </c>
      <c r="H331" s="10" t="str">
        <f>VLOOKUP(G331,'PUB 21'!$A$1:$B$29,2,0)</f>
        <v>BIENES  MUEBLES</v>
      </c>
      <c r="K331" s="18"/>
      <c r="L331" s="5"/>
      <c r="M331" s="27" t="str">
        <f t="shared" si="31"/>
        <v>1-2-2-21-40-00</v>
      </c>
      <c r="N331" s="27" t="str">
        <f t="shared" si="32"/>
        <v>BIENES  MUEBLES</v>
      </c>
      <c r="O331" s="4">
        <f t="shared" si="33"/>
        <v>116</v>
      </c>
      <c r="P331" s="4" t="s">
        <v>350</v>
      </c>
      <c r="Q331" s="4" t="str">
        <f t="shared" si="35"/>
        <v>1-2-2-21-40-00-116</v>
      </c>
      <c r="R331" s="4" t="str">
        <f t="shared" si="34"/>
        <v>COORD. DE CONTRAT. Y APOY. LEGAL</v>
      </c>
    </row>
    <row r="332" spans="1:18" ht="23.25" x14ac:dyDescent="0.2">
      <c r="A332" s="1">
        <v>1</v>
      </c>
      <c r="B332" s="6" t="str">
        <f>VLOOKUP(A332,'ACTIVOS CODIGO'!A:B,2,0)</f>
        <v>ACTIVO</v>
      </c>
      <c r="C332" s="2">
        <v>2</v>
      </c>
      <c r="D332" s="7" t="str">
        <f>VLOOKUP(C332,'ACTIVOS CODIGO'!C:D,2,0)</f>
        <v>ACTIVO DE LA HACIENDA = ACTIVO NO CORRIENTE</v>
      </c>
      <c r="E332" s="3">
        <v>2</v>
      </c>
      <c r="F332" s="8" t="str">
        <f>VLOOKUP(E332,'ACTIVOS CODIGO'!E:F,2,0)</f>
        <v>ACTIVO EXIGIBLE</v>
      </c>
      <c r="G332" s="10">
        <v>214</v>
      </c>
      <c r="H332" s="10" t="str">
        <f>VLOOKUP(G332,'PUB 21'!$A$1:$B$29,2,0)</f>
        <v>BIENES  MUEBLES</v>
      </c>
      <c r="K332" s="18"/>
      <c r="L332" s="5"/>
      <c r="M332" s="27" t="str">
        <f t="shared" si="31"/>
        <v>1-2-2-21-40-00</v>
      </c>
      <c r="N332" s="27" t="str">
        <f t="shared" si="32"/>
        <v>BIENES  MUEBLES</v>
      </c>
      <c r="O332" s="4">
        <f t="shared" si="33"/>
        <v>117</v>
      </c>
      <c r="P332" s="4" t="s">
        <v>351</v>
      </c>
      <c r="Q332" s="4" t="str">
        <f t="shared" si="35"/>
        <v>1-2-2-21-40-00-117</v>
      </c>
      <c r="R332" s="4" t="str">
        <f t="shared" si="34"/>
        <v>UND. DE INSPEC. Y CONSERV. AMB.</v>
      </c>
    </row>
    <row r="333" spans="1:18" ht="23.25" x14ac:dyDescent="0.2">
      <c r="A333" s="1">
        <v>1</v>
      </c>
      <c r="B333" s="6" t="str">
        <f>VLOOKUP(A333,'ACTIVOS CODIGO'!A:B,2,0)</f>
        <v>ACTIVO</v>
      </c>
      <c r="C333" s="2">
        <v>2</v>
      </c>
      <c r="D333" s="7" t="str">
        <f>VLOOKUP(C333,'ACTIVOS CODIGO'!C:D,2,0)</f>
        <v>ACTIVO DE LA HACIENDA = ACTIVO NO CORRIENTE</v>
      </c>
      <c r="E333" s="3">
        <v>2</v>
      </c>
      <c r="F333" s="8" t="str">
        <f>VLOOKUP(E333,'ACTIVOS CODIGO'!E:F,2,0)</f>
        <v>ACTIVO EXIGIBLE</v>
      </c>
      <c r="G333" s="10">
        <v>214</v>
      </c>
      <c r="H333" s="10" t="str">
        <f>VLOOKUP(G333,'PUB 21'!$A$1:$B$29,2,0)</f>
        <v>BIENES  MUEBLES</v>
      </c>
      <c r="K333" s="18"/>
      <c r="L333" s="5"/>
      <c r="M333" s="27" t="str">
        <f t="shared" si="31"/>
        <v>1-2-2-21-40-00</v>
      </c>
      <c r="N333" s="27" t="str">
        <f t="shared" si="32"/>
        <v>BIENES  MUEBLES</v>
      </c>
      <c r="O333" s="4">
        <f t="shared" si="33"/>
        <v>118</v>
      </c>
      <c r="P333" s="4" t="s">
        <v>352</v>
      </c>
      <c r="Q333" s="4" t="str">
        <f t="shared" si="35"/>
        <v>1-2-2-21-40-00-118</v>
      </c>
      <c r="R333" s="4" t="str">
        <f t="shared" si="34"/>
        <v>COORD. DE INSPEC. Y SUPERVIS.</v>
      </c>
    </row>
    <row r="334" spans="1:18" ht="23.25" x14ac:dyDescent="0.2">
      <c r="A334" s="1">
        <v>1</v>
      </c>
      <c r="B334" s="6" t="str">
        <f>VLOOKUP(A334,'ACTIVOS CODIGO'!A:B,2,0)</f>
        <v>ACTIVO</v>
      </c>
      <c r="C334" s="2">
        <v>2</v>
      </c>
      <c r="D334" s="7" t="str">
        <f>VLOOKUP(C334,'ACTIVOS CODIGO'!C:D,2,0)</f>
        <v>ACTIVO DE LA HACIENDA = ACTIVO NO CORRIENTE</v>
      </c>
      <c r="E334" s="3">
        <v>2</v>
      </c>
      <c r="F334" s="8" t="str">
        <f>VLOOKUP(E334,'ACTIVOS CODIGO'!E:F,2,0)</f>
        <v>ACTIVO EXIGIBLE</v>
      </c>
      <c r="G334" s="10">
        <v>214</v>
      </c>
      <c r="H334" s="10" t="str">
        <f>VLOOKUP(G334,'PUB 21'!$A$1:$B$29,2,0)</f>
        <v>BIENES  MUEBLES</v>
      </c>
      <c r="K334" s="18"/>
      <c r="L334" s="5"/>
      <c r="M334" s="27" t="str">
        <f t="shared" si="31"/>
        <v>1-2-2-21-40-00</v>
      </c>
      <c r="N334" s="27" t="str">
        <f t="shared" si="32"/>
        <v>BIENES  MUEBLES</v>
      </c>
      <c r="O334" s="4">
        <f t="shared" si="33"/>
        <v>119</v>
      </c>
      <c r="P334" s="4" t="s">
        <v>353</v>
      </c>
      <c r="Q334" s="4" t="str">
        <f t="shared" si="35"/>
        <v>1-2-2-21-40-00-119</v>
      </c>
      <c r="R334" s="4" t="str">
        <f t="shared" si="34"/>
        <v>S.U.M.A.T</v>
      </c>
    </row>
    <row r="335" spans="1:18" ht="23.25" x14ac:dyDescent="0.2">
      <c r="A335" s="1">
        <v>1</v>
      </c>
      <c r="B335" s="6" t="str">
        <f>VLOOKUP(A335,'ACTIVOS CODIGO'!A:B,2,0)</f>
        <v>ACTIVO</v>
      </c>
      <c r="C335" s="2">
        <v>2</v>
      </c>
      <c r="D335" s="7" t="str">
        <f>VLOOKUP(C335,'ACTIVOS CODIGO'!C:D,2,0)</f>
        <v>ACTIVO DE LA HACIENDA = ACTIVO NO CORRIENTE</v>
      </c>
      <c r="E335" s="3">
        <v>2</v>
      </c>
      <c r="F335" s="8" t="str">
        <f>VLOOKUP(E335,'ACTIVOS CODIGO'!E:F,2,0)</f>
        <v>ACTIVO EXIGIBLE</v>
      </c>
      <c r="G335" s="10">
        <v>214</v>
      </c>
      <c r="H335" s="10" t="str">
        <f>VLOOKUP(G335,'PUB 21'!$A$1:$B$29,2,0)</f>
        <v>BIENES  MUEBLES</v>
      </c>
      <c r="K335" s="18"/>
      <c r="L335" s="5"/>
      <c r="M335" s="27" t="str">
        <f t="shared" si="31"/>
        <v>1-2-2-21-40-00</v>
      </c>
      <c r="N335" s="27" t="str">
        <f t="shared" si="32"/>
        <v>BIENES  MUEBLES</v>
      </c>
      <c r="O335" s="4">
        <f t="shared" si="33"/>
        <v>120</v>
      </c>
      <c r="P335" s="4" t="s">
        <v>354</v>
      </c>
      <c r="Q335" s="4" t="str">
        <f t="shared" si="35"/>
        <v>1-2-2-21-40-00-120</v>
      </c>
      <c r="R335" s="4" t="str">
        <f t="shared" si="34"/>
        <v>CONTRALORIA MUNICIPAL</v>
      </c>
    </row>
    <row r="336" spans="1:18" ht="23.25" x14ac:dyDescent="0.2">
      <c r="A336" s="1">
        <v>1</v>
      </c>
      <c r="B336" s="6" t="str">
        <f>VLOOKUP(A336,'ACTIVOS CODIGO'!A:B,2,0)</f>
        <v>ACTIVO</v>
      </c>
      <c r="C336" s="2">
        <v>2</v>
      </c>
      <c r="D336" s="7" t="str">
        <f>VLOOKUP(C336,'ACTIVOS CODIGO'!C:D,2,0)</f>
        <v>ACTIVO DE LA HACIENDA = ACTIVO NO CORRIENTE</v>
      </c>
      <c r="E336" s="3">
        <v>2</v>
      </c>
      <c r="F336" s="8" t="str">
        <f>VLOOKUP(E336,'ACTIVOS CODIGO'!E:F,2,0)</f>
        <v>ACTIVO EXIGIBLE</v>
      </c>
      <c r="G336" s="10">
        <v>214</v>
      </c>
      <c r="H336" s="10" t="str">
        <f>VLOOKUP(G336,'PUB 21'!$A$1:$B$29,2,0)</f>
        <v>BIENES  MUEBLES</v>
      </c>
      <c r="K336" s="18"/>
      <c r="L336" s="5"/>
      <c r="M336" s="27" t="str">
        <f t="shared" si="31"/>
        <v>1-2-2-21-40-00</v>
      </c>
      <c r="N336" s="27" t="str">
        <f t="shared" si="32"/>
        <v>BIENES  MUEBLES</v>
      </c>
      <c r="O336" s="4">
        <f t="shared" si="33"/>
        <v>121</v>
      </c>
      <c r="P336" s="4" t="s">
        <v>355</v>
      </c>
      <c r="Q336" s="4" t="str">
        <f t="shared" si="35"/>
        <v>1-2-2-21-40-00-121</v>
      </c>
      <c r="R336" s="4" t="str">
        <f t="shared" si="34"/>
        <v>CAMARA MUNICIPAL</v>
      </c>
    </row>
    <row r="337" spans="1:18" ht="23.25" x14ac:dyDescent="0.2">
      <c r="A337" s="1">
        <v>1</v>
      </c>
      <c r="B337" s="6" t="str">
        <f>VLOOKUP(A337,'ACTIVOS CODIGO'!A:B,2,0)</f>
        <v>ACTIVO</v>
      </c>
      <c r="C337" s="2">
        <v>2</v>
      </c>
      <c r="D337" s="7" t="str">
        <f>VLOOKUP(C337,'ACTIVOS CODIGO'!C:D,2,0)</f>
        <v>ACTIVO DE LA HACIENDA = ACTIVO NO CORRIENTE</v>
      </c>
      <c r="E337" s="3">
        <v>2</v>
      </c>
      <c r="F337" s="8" t="str">
        <f>VLOOKUP(E337,'ACTIVOS CODIGO'!E:F,2,0)</f>
        <v>ACTIVO EXIGIBLE</v>
      </c>
      <c r="G337" s="10">
        <v>214</v>
      </c>
      <c r="H337" s="10" t="str">
        <f>VLOOKUP(G337,'PUB 21'!$A$1:$B$29,2,0)</f>
        <v>BIENES  MUEBLES</v>
      </c>
      <c r="K337" s="18"/>
      <c r="L337" s="5"/>
      <c r="M337" s="27" t="str">
        <f t="shared" si="31"/>
        <v>1-2-2-21-40-00</v>
      </c>
      <c r="N337" s="27" t="str">
        <f t="shared" si="32"/>
        <v>BIENES  MUEBLES</v>
      </c>
      <c r="O337" s="4">
        <f t="shared" si="33"/>
        <v>122</v>
      </c>
      <c r="P337" s="4" t="s">
        <v>356</v>
      </c>
      <c r="Q337" s="4" t="str">
        <f t="shared" si="35"/>
        <v>1-2-2-21-40-00-122</v>
      </c>
      <c r="R337" s="4" t="str">
        <f t="shared" si="34"/>
        <v>APOYO AL PODER COMUNAL</v>
      </c>
    </row>
    <row r="338" spans="1:18" ht="23.25" x14ac:dyDescent="0.2">
      <c r="A338" s="1">
        <v>1</v>
      </c>
      <c r="B338" s="6" t="str">
        <f>VLOOKUP(A338,'ACTIVOS CODIGO'!A:B,2,0)</f>
        <v>ACTIVO</v>
      </c>
      <c r="C338" s="2">
        <v>2</v>
      </c>
      <c r="D338" s="7" t="str">
        <f>VLOOKUP(C338,'ACTIVOS CODIGO'!C:D,2,0)</f>
        <v>ACTIVO DE LA HACIENDA = ACTIVO NO CORRIENTE</v>
      </c>
      <c r="E338" s="3">
        <v>2</v>
      </c>
      <c r="F338" s="8" t="str">
        <f>VLOOKUP(E338,'ACTIVOS CODIGO'!E:F,2,0)</f>
        <v>ACTIVO EXIGIBLE</v>
      </c>
      <c r="G338" s="10">
        <v>214</v>
      </c>
      <c r="H338" s="10" t="str">
        <f>VLOOKUP(G338,'PUB 21'!$A$1:$B$29,2,0)</f>
        <v>BIENES  MUEBLES</v>
      </c>
      <c r="K338" s="18"/>
      <c r="L338" s="5"/>
      <c r="M338" s="27" t="str">
        <f t="shared" si="31"/>
        <v>1-2-2-21-40-00</v>
      </c>
      <c r="N338" s="27" t="str">
        <f t="shared" si="32"/>
        <v>BIENES  MUEBLES</v>
      </c>
      <c r="O338" s="4">
        <f t="shared" si="33"/>
        <v>123</v>
      </c>
      <c r="P338" s="4" t="s">
        <v>357</v>
      </c>
      <c r="Q338" s="4" t="str">
        <f t="shared" si="35"/>
        <v>1-2-2-21-40-00-123</v>
      </c>
      <c r="R338" s="4" t="str">
        <f t="shared" si="34"/>
        <v>UNIDAD DE APOYO ADMINISTRATIVO</v>
      </c>
    </row>
    <row r="339" spans="1:18" ht="23.25" x14ac:dyDescent="0.2">
      <c r="A339" s="1">
        <v>1</v>
      </c>
      <c r="B339" s="6" t="str">
        <f>VLOOKUP(A339,'ACTIVOS CODIGO'!A:B,2,0)</f>
        <v>ACTIVO</v>
      </c>
      <c r="C339" s="2">
        <v>2</v>
      </c>
      <c r="D339" s="7" t="str">
        <f>VLOOKUP(C339,'ACTIVOS CODIGO'!C:D,2,0)</f>
        <v>ACTIVO DE LA HACIENDA = ACTIVO NO CORRIENTE</v>
      </c>
      <c r="E339" s="3">
        <v>2</v>
      </c>
      <c r="F339" s="8" t="str">
        <f>VLOOKUP(E339,'ACTIVOS CODIGO'!E:F,2,0)</f>
        <v>ACTIVO EXIGIBLE</v>
      </c>
      <c r="G339" s="10">
        <v>214</v>
      </c>
      <c r="H339" s="10" t="str">
        <f>VLOOKUP(G339,'PUB 21'!$A$1:$B$29,2,0)</f>
        <v>BIENES  MUEBLES</v>
      </c>
      <c r="K339" s="18"/>
      <c r="L339" s="5"/>
      <c r="M339" s="27" t="str">
        <f t="shared" si="31"/>
        <v>1-2-2-21-40-00</v>
      </c>
      <c r="N339" s="27" t="str">
        <f t="shared" si="32"/>
        <v>BIENES  MUEBLES</v>
      </c>
      <c r="O339" s="4">
        <f t="shared" si="33"/>
        <v>124</v>
      </c>
      <c r="P339" s="4" t="s">
        <v>358</v>
      </c>
      <c r="Q339" s="4" t="str">
        <f t="shared" si="35"/>
        <v>1-2-2-21-40-00-124</v>
      </c>
      <c r="R339" s="4" t="str">
        <f t="shared" si="34"/>
        <v>DIRECCION DE PROGRAMAS DE SALUD</v>
      </c>
    </row>
    <row r="340" spans="1:18" ht="23.25" x14ac:dyDescent="0.2">
      <c r="A340" s="1">
        <v>1</v>
      </c>
      <c r="B340" s="6" t="str">
        <f>VLOOKUP(A340,'ACTIVOS CODIGO'!A:B,2,0)</f>
        <v>ACTIVO</v>
      </c>
      <c r="C340" s="2">
        <v>2</v>
      </c>
      <c r="D340" s="7" t="str">
        <f>VLOOKUP(C340,'ACTIVOS CODIGO'!C:D,2,0)</f>
        <v>ACTIVO DE LA HACIENDA = ACTIVO NO CORRIENTE</v>
      </c>
      <c r="E340" s="3">
        <v>2</v>
      </c>
      <c r="F340" s="8" t="str">
        <f>VLOOKUP(E340,'ACTIVOS CODIGO'!E:F,2,0)</f>
        <v>ACTIVO EXIGIBLE</v>
      </c>
      <c r="G340" s="10">
        <v>214</v>
      </c>
      <c r="H340" s="10" t="str">
        <f>VLOOKUP(G340,'PUB 21'!$A$1:$B$29,2,0)</f>
        <v>BIENES  MUEBLES</v>
      </c>
      <c r="K340" s="18"/>
      <c r="L340" s="5"/>
      <c r="M340" s="27" t="str">
        <f t="shared" si="31"/>
        <v>1-2-2-21-40-00</v>
      </c>
      <c r="N340" s="27" t="str">
        <f t="shared" si="32"/>
        <v>BIENES  MUEBLES</v>
      </c>
      <c r="O340" s="4">
        <f t="shared" si="33"/>
        <v>125</v>
      </c>
      <c r="P340" s="4" t="s">
        <v>359</v>
      </c>
      <c r="Q340" s="4" t="str">
        <f t="shared" si="35"/>
        <v>1-2-2-21-40-00-125</v>
      </c>
      <c r="R340" s="4" t="str">
        <f t="shared" si="34"/>
        <v>COORD. DE CLINICAS MOVILES</v>
      </c>
    </row>
    <row r="341" spans="1:18" ht="23.25" x14ac:dyDescent="0.2">
      <c r="A341" s="1">
        <v>1</v>
      </c>
      <c r="B341" s="6" t="str">
        <f>VLOOKUP(A341,'ACTIVOS CODIGO'!A:B,2,0)</f>
        <v>ACTIVO</v>
      </c>
      <c r="C341" s="2">
        <v>2</v>
      </c>
      <c r="D341" s="7" t="str">
        <f>VLOOKUP(C341,'ACTIVOS CODIGO'!C:D,2,0)</f>
        <v>ACTIVO DE LA HACIENDA = ACTIVO NO CORRIENTE</v>
      </c>
      <c r="E341" s="3">
        <v>2</v>
      </c>
      <c r="F341" s="8" t="str">
        <f>VLOOKUP(E341,'ACTIVOS CODIGO'!E:F,2,0)</f>
        <v>ACTIVO EXIGIBLE</v>
      </c>
      <c r="G341" s="10">
        <v>214</v>
      </c>
      <c r="H341" s="10" t="str">
        <f>VLOOKUP(G341,'PUB 21'!$A$1:$B$29,2,0)</f>
        <v>BIENES  MUEBLES</v>
      </c>
      <c r="K341" s="18"/>
      <c r="L341" s="5"/>
      <c r="M341" s="27" t="str">
        <f t="shared" si="31"/>
        <v>1-2-2-21-40-00</v>
      </c>
      <c r="N341" s="27" t="str">
        <f t="shared" si="32"/>
        <v>BIENES  MUEBLES</v>
      </c>
      <c r="O341" s="4">
        <f t="shared" si="33"/>
        <v>126</v>
      </c>
      <c r="P341" s="4" t="s">
        <v>360</v>
      </c>
      <c r="Q341" s="4" t="str">
        <f t="shared" si="35"/>
        <v>1-2-2-21-40-00-126</v>
      </c>
      <c r="R341" s="4" t="str">
        <f t="shared" si="34"/>
        <v>COORD. DE PROG.DE</v>
      </c>
    </row>
    <row r="342" spans="1:18" ht="23.25" x14ac:dyDescent="0.2">
      <c r="A342" s="1">
        <v>1</v>
      </c>
      <c r="B342" s="6" t="str">
        <f>VLOOKUP(A342,'ACTIVOS CODIGO'!A:B,2,0)</f>
        <v>ACTIVO</v>
      </c>
      <c r="C342" s="2">
        <v>2</v>
      </c>
      <c r="D342" s="7" t="str">
        <f>VLOOKUP(C342,'ACTIVOS CODIGO'!C:D,2,0)</f>
        <v>ACTIVO DE LA HACIENDA = ACTIVO NO CORRIENTE</v>
      </c>
      <c r="E342" s="3">
        <v>2</v>
      </c>
      <c r="F342" s="8" t="str">
        <f>VLOOKUP(E342,'ACTIVOS CODIGO'!E:F,2,0)</f>
        <v>ACTIVO EXIGIBLE</v>
      </c>
      <c r="G342" s="10">
        <v>214</v>
      </c>
      <c r="H342" s="10" t="str">
        <f>VLOOKUP(G342,'PUB 21'!$A$1:$B$29,2,0)</f>
        <v>BIENES  MUEBLES</v>
      </c>
      <c r="K342" s="18"/>
      <c r="L342" s="5"/>
      <c r="M342" s="27" t="str">
        <f t="shared" si="31"/>
        <v>1-2-2-21-40-00</v>
      </c>
      <c r="N342" s="27" t="str">
        <f t="shared" si="32"/>
        <v>BIENES  MUEBLES</v>
      </c>
      <c r="O342" s="4">
        <f t="shared" si="33"/>
        <v>127</v>
      </c>
      <c r="P342" s="4" t="s">
        <v>361</v>
      </c>
      <c r="Q342" s="4" t="str">
        <f t="shared" si="35"/>
        <v>1-2-2-21-40-00-127</v>
      </c>
      <c r="R342" s="4" t="str">
        <f t="shared" si="34"/>
        <v>DIRECCION DE  EDUCACION</v>
      </c>
    </row>
    <row r="343" spans="1:18" ht="23.25" x14ac:dyDescent="0.2">
      <c r="A343" s="1">
        <v>1</v>
      </c>
      <c r="B343" s="6" t="str">
        <f>VLOOKUP(A343,'ACTIVOS CODIGO'!A:B,2,0)</f>
        <v>ACTIVO</v>
      </c>
      <c r="C343" s="2">
        <v>2</v>
      </c>
      <c r="D343" s="7" t="str">
        <f>VLOOKUP(C343,'ACTIVOS CODIGO'!C:D,2,0)</f>
        <v>ACTIVO DE LA HACIENDA = ACTIVO NO CORRIENTE</v>
      </c>
      <c r="E343" s="3">
        <v>2</v>
      </c>
      <c r="F343" s="8" t="str">
        <f>VLOOKUP(E343,'ACTIVOS CODIGO'!E:F,2,0)</f>
        <v>ACTIVO EXIGIBLE</v>
      </c>
      <c r="G343" s="10">
        <v>214</v>
      </c>
      <c r="H343" s="10" t="str">
        <f>VLOOKUP(G343,'PUB 21'!$A$1:$B$29,2,0)</f>
        <v>BIENES  MUEBLES</v>
      </c>
      <c r="K343" s="18"/>
      <c r="L343" s="5"/>
      <c r="M343" s="27" t="str">
        <f t="shared" si="31"/>
        <v>1-2-2-21-40-00</v>
      </c>
      <c r="N343" s="27" t="str">
        <f t="shared" si="32"/>
        <v>BIENES  MUEBLES</v>
      </c>
      <c r="O343" s="4">
        <f t="shared" si="33"/>
        <v>128</v>
      </c>
      <c r="P343" s="4" t="s">
        <v>362</v>
      </c>
      <c r="Q343" s="4" t="str">
        <f t="shared" si="35"/>
        <v>1-2-2-21-40-00-128</v>
      </c>
      <c r="R343" s="4" t="str">
        <f t="shared" si="34"/>
        <v>COORD. ATENC. A UNANPRE Y GUAR</v>
      </c>
    </row>
    <row r="344" spans="1:18" ht="23.25" x14ac:dyDescent="0.2">
      <c r="A344" s="1">
        <v>1</v>
      </c>
      <c r="B344" s="6" t="str">
        <f>VLOOKUP(A344,'ACTIVOS CODIGO'!A:B,2,0)</f>
        <v>ACTIVO</v>
      </c>
      <c r="C344" s="2">
        <v>2</v>
      </c>
      <c r="D344" s="7" t="str">
        <f>VLOOKUP(C344,'ACTIVOS CODIGO'!C:D,2,0)</f>
        <v>ACTIVO DE LA HACIENDA = ACTIVO NO CORRIENTE</v>
      </c>
      <c r="E344" s="3">
        <v>2</v>
      </c>
      <c r="F344" s="8" t="str">
        <f>VLOOKUP(E344,'ACTIVOS CODIGO'!E:F,2,0)</f>
        <v>ACTIVO EXIGIBLE</v>
      </c>
      <c r="G344" s="10">
        <v>214</v>
      </c>
      <c r="H344" s="10" t="str">
        <f>VLOOKUP(G344,'PUB 21'!$A$1:$B$29,2,0)</f>
        <v>BIENES  MUEBLES</v>
      </c>
      <c r="K344" s="18"/>
      <c r="L344" s="5"/>
      <c r="M344" s="27" t="str">
        <f t="shared" si="31"/>
        <v>1-2-2-21-40-00</v>
      </c>
      <c r="N344" s="27" t="str">
        <f t="shared" si="32"/>
        <v>BIENES  MUEBLES</v>
      </c>
      <c r="O344" s="4">
        <f t="shared" si="33"/>
        <v>129</v>
      </c>
      <c r="P344" s="4" t="s">
        <v>363</v>
      </c>
      <c r="Q344" s="4" t="str">
        <f t="shared" si="35"/>
        <v>1-2-2-21-40-00-129</v>
      </c>
      <c r="R344" s="4" t="str">
        <f t="shared" si="34"/>
        <v>COORD. DE PROG.DE ALIMENT, ESCOL</v>
      </c>
    </row>
    <row r="345" spans="1:18" ht="23.25" x14ac:dyDescent="0.2">
      <c r="A345" s="1">
        <v>1</v>
      </c>
      <c r="B345" s="6" t="str">
        <f>VLOOKUP(A345,'ACTIVOS CODIGO'!A:B,2,0)</f>
        <v>ACTIVO</v>
      </c>
      <c r="C345" s="2">
        <v>2</v>
      </c>
      <c r="D345" s="7" t="str">
        <f>VLOOKUP(C345,'ACTIVOS CODIGO'!C:D,2,0)</f>
        <v>ACTIVO DE LA HACIENDA = ACTIVO NO CORRIENTE</v>
      </c>
      <c r="E345" s="3">
        <v>2</v>
      </c>
      <c r="F345" s="8" t="str">
        <f>VLOOKUP(E345,'ACTIVOS CODIGO'!E:F,2,0)</f>
        <v>ACTIVO EXIGIBLE</v>
      </c>
      <c r="G345" s="10">
        <v>214</v>
      </c>
      <c r="H345" s="10" t="str">
        <f>VLOOKUP(G345,'PUB 21'!$A$1:$B$29,2,0)</f>
        <v>BIENES  MUEBLES</v>
      </c>
      <c r="K345" s="18"/>
      <c r="L345" s="5"/>
      <c r="M345" s="27" t="str">
        <f t="shared" si="31"/>
        <v>1-2-2-21-40-00</v>
      </c>
      <c r="N345" s="27" t="str">
        <f t="shared" si="32"/>
        <v>BIENES  MUEBLES</v>
      </c>
      <c r="O345" s="4">
        <f t="shared" si="33"/>
        <v>130</v>
      </c>
      <c r="P345" s="4" t="s">
        <v>364</v>
      </c>
      <c r="Q345" s="4" t="str">
        <f t="shared" si="35"/>
        <v>1-2-2-21-40-00-130</v>
      </c>
      <c r="R345" s="4" t="str">
        <f t="shared" si="34"/>
        <v>GUARDERIA MENCA DE LEONI</v>
      </c>
    </row>
    <row r="346" spans="1:18" ht="23.25" x14ac:dyDescent="0.2">
      <c r="A346" s="1">
        <v>1</v>
      </c>
      <c r="B346" s="6" t="str">
        <f>VLOOKUP(A346,'ACTIVOS CODIGO'!A:B,2,0)</f>
        <v>ACTIVO</v>
      </c>
      <c r="C346" s="2">
        <v>2</v>
      </c>
      <c r="D346" s="7" t="str">
        <f>VLOOKUP(C346,'ACTIVOS CODIGO'!C:D,2,0)</f>
        <v>ACTIVO DE LA HACIENDA = ACTIVO NO CORRIENTE</v>
      </c>
      <c r="E346" s="3">
        <v>2</v>
      </c>
      <c r="F346" s="8" t="str">
        <f>VLOOKUP(E346,'ACTIVOS CODIGO'!E:F,2,0)</f>
        <v>ACTIVO EXIGIBLE</v>
      </c>
      <c r="G346" s="10">
        <v>214</v>
      </c>
      <c r="H346" s="10" t="str">
        <f>VLOOKUP(G346,'PUB 21'!$A$1:$B$29,2,0)</f>
        <v>BIENES  MUEBLES</v>
      </c>
      <c r="K346" s="18"/>
      <c r="L346" s="5"/>
      <c r="M346" s="27" t="str">
        <f t="shared" si="31"/>
        <v>1-2-2-21-40-00</v>
      </c>
      <c r="N346" s="27" t="str">
        <f t="shared" si="32"/>
        <v>BIENES  MUEBLES</v>
      </c>
      <c r="O346" s="4">
        <f t="shared" si="33"/>
        <v>131</v>
      </c>
      <c r="P346" s="4" t="s">
        <v>365</v>
      </c>
      <c r="Q346" s="4" t="str">
        <f t="shared" si="35"/>
        <v>1-2-2-21-40-00-131</v>
      </c>
      <c r="R346" s="4" t="str">
        <f t="shared" si="34"/>
        <v>GUARCERIA NELLY CUERVO DE GB</v>
      </c>
    </row>
    <row r="347" spans="1:18" ht="23.25" x14ac:dyDescent="0.2">
      <c r="A347" s="1">
        <v>1</v>
      </c>
      <c r="B347" s="6" t="str">
        <f>VLOOKUP(A347,'ACTIVOS CODIGO'!A:B,2,0)</f>
        <v>ACTIVO</v>
      </c>
      <c r="C347" s="2">
        <v>2</v>
      </c>
      <c r="D347" s="7" t="str">
        <f>VLOOKUP(C347,'ACTIVOS CODIGO'!C:D,2,0)</f>
        <v>ACTIVO DE LA HACIENDA = ACTIVO NO CORRIENTE</v>
      </c>
      <c r="E347" s="3">
        <v>2</v>
      </c>
      <c r="F347" s="8" t="str">
        <f>VLOOKUP(E347,'ACTIVOS CODIGO'!E:F,2,0)</f>
        <v>ACTIVO EXIGIBLE</v>
      </c>
      <c r="G347" s="10">
        <v>214</v>
      </c>
      <c r="H347" s="10" t="str">
        <f>VLOOKUP(G347,'PUB 21'!$A$1:$B$29,2,0)</f>
        <v>BIENES  MUEBLES</v>
      </c>
      <c r="K347" s="18"/>
      <c r="L347" s="5"/>
      <c r="M347" s="27" t="str">
        <f t="shared" si="31"/>
        <v>1-2-2-21-40-00</v>
      </c>
      <c r="N347" s="27" t="str">
        <f t="shared" si="32"/>
        <v>BIENES  MUEBLES</v>
      </c>
      <c r="O347" s="4">
        <f t="shared" si="33"/>
        <v>132</v>
      </c>
      <c r="P347" s="4" t="s">
        <v>366</v>
      </c>
      <c r="Q347" s="4" t="str">
        <f t="shared" si="35"/>
        <v>1-2-2-21-40-00-132</v>
      </c>
      <c r="R347" s="4" t="str">
        <f t="shared" si="34"/>
        <v>GUARDERIA PEDRO E. GUTIERREZ</v>
      </c>
    </row>
    <row r="348" spans="1:18" ht="23.25" x14ac:dyDescent="0.2">
      <c r="A348" s="1">
        <v>1</v>
      </c>
      <c r="B348" s="6" t="str">
        <f>VLOOKUP(A348,'ACTIVOS CODIGO'!A:B,2,0)</f>
        <v>ACTIVO</v>
      </c>
      <c r="C348" s="2">
        <v>2</v>
      </c>
      <c r="D348" s="7" t="str">
        <f>VLOOKUP(C348,'ACTIVOS CODIGO'!C:D,2,0)</f>
        <v>ACTIVO DE LA HACIENDA = ACTIVO NO CORRIENTE</v>
      </c>
      <c r="E348" s="3">
        <v>2</v>
      </c>
      <c r="F348" s="8" t="str">
        <f>VLOOKUP(E348,'ACTIVOS CODIGO'!E:F,2,0)</f>
        <v>ACTIVO EXIGIBLE</v>
      </c>
      <c r="G348" s="10">
        <v>214</v>
      </c>
      <c r="H348" s="10" t="str">
        <f>VLOOKUP(G348,'PUB 21'!$A$1:$B$29,2,0)</f>
        <v>BIENES  MUEBLES</v>
      </c>
      <c r="K348" s="18"/>
      <c r="L348" s="5"/>
      <c r="M348" s="27" t="str">
        <f t="shared" si="31"/>
        <v>1-2-2-21-40-00</v>
      </c>
      <c r="N348" s="27" t="str">
        <f t="shared" si="32"/>
        <v>BIENES  MUEBLES</v>
      </c>
      <c r="O348" s="4">
        <f t="shared" si="33"/>
        <v>133</v>
      </c>
      <c r="P348" s="4" t="s">
        <v>367</v>
      </c>
      <c r="Q348" s="4" t="str">
        <f t="shared" si="35"/>
        <v>1-2-2-21-40-00-133</v>
      </c>
      <c r="R348" s="4" t="str">
        <f t="shared" si="34"/>
        <v>GUARDERIA SIMON BOLIVAR II</v>
      </c>
    </row>
    <row r="349" spans="1:18" ht="23.25" x14ac:dyDescent="0.2">
      <c r="A349" s="1">
        <v>1</v>
      </c>
      <c r="B349" s="6" t="str">
        <f>VLOOKUP(A349,'ACTIVOS CODIGO'!A:B,2,0)</f>
        <v>ACTIVO</v>
      </c>
      <c r="C349" s="2">
        <v>2</v>
      </c>
      <c r="D349" s="7" t="str">
        <f>VLOOKUP(C349,'ACTIVOS CODIGO'!C:D,2,0)</f>
        <v>ACTIVO DE LA HACIENDA = ACTIVO NO CORRIENTE</v>
      </c>
      <c r="E349" s="3">
        <v>2</v>
      </c>
      <c r="F349" s="8" t="str">
        <f>VLOOKUP(E349,'ACTIVOS CODIGO'!E:F,2,0)</f>
        <v>ACTIVO EXIGIBLE</v>
      </c>
      <c r="G349" s="10">
        <v>214</v>
      </c>
      <c r="H349" s="10" t="str">
        <f>VLOOKUP(G349,'PUB 21'!$A$1:$B$29,2,0)</f>
        <v>BIENES  MUEBLES</v>
      </c>
      <c r="K349" s="18"/>
      <c r="L349" s="5"/>
      <c r="M349" s="27" t="str">
        <f t="shared" si="31"/>
        <v>1-2-2-21-40-00</v>
      </c>
      <c r="N349" s="27" t="str">
        <f t="shared" si="32"/>
        <v>BIENES  MUEBLES</v>
      </c>
      <c r="O349" s="4">
        <f t="shared" si="33"/>
        <v>134</v>
      </c>
      <c r="P349" s="4" t="s">
        <v>368</v>
      </c>
      <c r="Q349" s="4" t="str">
        <f t="shared" si="35"/>
        <v>1-2-2-21-40-00-134</v>
      </c>
      <c r="R349" s="4" t="str">
        <f t="shared" si="34"/>
        <v>GUARDERIA INES PONTE</v>
      </c>
    </row>
    <row r="350" spans="1:18" ht="23.25" x14ac:dyDescent="0.2">
      <c r="A350" s="1">
        <v>1</v>
      </c>
      <c r="B350" s="6" t="str">
        <f>VLOOKUP(A350,'ACTIVOS CODIGO'!A:B,2,0)</f>
        <v>ACTIVO</v>
      </c>
      <c r="C350" s="2">
        <v>2</v>
      </c>
      <c r="D350" s="7" t="str">
        <f>VLOOKUP(C350,'ACTIVOS CODIGO'!C:D,2,0)</f>
        <v>ACTIVO DE LA HACIENDA = ACTIVO NO CORRIENTE</v>
      </c>
      <c r="E350" s="3">
        <v>2</v>
      </c>
      <c r="F350" s="8" t="str">
        <f>VLOOKUP(E350,'ACTIVOS CODIGO'!E:F,2,0)</f>
        <v>ACTIVO EXIGIBLE</v>
      </c>
      <c r="G350" s="10">
        <v>214</v>
      </c>
      <c r="H350" s="10" t="str">
        <f>VLOOKUP(G350,'PUB 21'!$A$1:$B$29,2,0)</f>
        <v>BIENES  MUEBLES</v>
      </c>
      <c r="K350" s="18"/>
      <c r="L350" s="5"/>
      <c r="M350" s="27" t="str">
        <f t="shared" si="31"/>
        <v>1-2-2-21-40-00</v>
      </c>
      <c r="N350" s="27" t="str">
        <f t="shared" si="32"/>
        <v>BIENES  MUEBLES</v>
      </c>
      <c r="O350" s="4">
        <f t="shared" si="33"/>
        <v>135</v>
      </c>
      <c r="P350" s="4" t="s">
        <v>369</v>
      </c>
      <c r="Q350" s="4" t="str">
        <f t="shared" si="35"/>
        <v>1-2-2-21-40-00-135</v>
      </c>
      <c r="R350" s="4" t="str">
        <f t="shared" si="34"/>
        <v>GUARDERIA SIMON RODRIGUEZ</v>
      </c>
    </row>
    <row r="351" spans="1:18" ht="23.25" x14ac:dyDescent="0.2">
      <c r="A351" s="1">
        <v>1</v>
      </c>
      <c r="B351" s="6" t="str">
        <f>VLOOKUP(A351,'ACTIVOS CODIGO'!A:B,2,0)</f>
        <v>ACTIVO</v>
      </c>
      <c r="C351" s="2">
        <v>2</v>
      </c>
      <c r="D351" s="7" t="str">
        <f>VLOOKUP(C351,'ACTIVOS CODIGO'!C:D,2,0)</f>
        <v>ACTIVO DE LA HACIENDA = ACTIVO NO CORRIENTE</v>
      </c>
      <c r="E351" s="3">
        <v>2</v>
      </c>
      <c r="F351" s="8" t="str">
        <f>VLOOKUP(E351,'ACTIVOS CODIGO'!E:F,2,0)</f>
        <v>ACTIVO EXIGIBLE</v>
      </c>
      <c r="G351" s="10">
        <v>214</v>
      </c>
      <c r="H351" s="10" t="str">
        <f>VLOOKUP(G351,'PUB 21'!$A$1:$B$29,2,0)</f>
        <v>BIENES  MUEBLES</v>
      </c>
      <c r="K351" s="18"/>
      <c r="L351" s="5"/>
      <c r="M351" s="27" t="str">
        <f t="shared" si="31"/>
        <v>1-2-2-21-40-00</v>
      </c>
      <c r="N351" s="27" t="str">
        <f t="shared" si="32"/>
        <v>BIENES  MUEBLES</v>
      </c>
      <c r="O351" s="4">
        <f t="shared" si="33"/>
        <v>136</v>
      </c>
      <c r="P351" s="4" t="s">
        <v>370</v>
      </c>
      <c r="Q351" s="4" t="str">
        <f t="shared" si="35"/>
        <v>1-2-2-21-40-00-136</v>
      </c>
      <c r="R351" s="4" t="str">
        <f t="shared" si="34"/>
        <v>GUARDERIA JOSE FRANCISCO TORR.</v>
      </c>
    </row>
    <row r="352" spans="1:18" ht="23.25" x14ac:dyDescent="0.2">
      <c r="A352" s="1">
        <v>1</v>
      </c>
      <c r="B352" s="6" t="str">
        <f>VLOOKUP(A352,'ACTIVOS CODIGO'!A:B,2,0)</f>
        <v>ACTIVO</v>
      </c>
      <c r="C352" s="2">
        <v>2</v>
      </c>
      <c r="D352" s="7" t="str">
        <f>VLOOKUP(C352,'ACTIVOS CODIGO'!C:D,2,0)</f>
        <v>ACTIVO DE LA HACIENDA = ACTIVO NO CORRIENTE</v>
      </c>
      <c r="E352" s="3">
        <v>2</v>
      </c>
      <c r="F352" s="8" t="str">
        <f>VLOOKUP(E352,'ACTIVOS CODIGO'!E:F,2,0)</f>
        <v>ACTIVO EXIGIBLE</v>
      </c>
      <c r="G352" s="10">
        <v>214</v>
      </c>
      <c r="H352" s="10" t="str">
        <f>VLOOKUP(G352,'PUB 21'!$A$1:$B$29,2,0)</f>
        <v>BIENES  MUEBLES</v>
      </c>
      <c r="K352" s="18"/>
      <c r="L352" s="5"/>
      <c r="M352" s="27" t="str">
        <f t="shared" si="31"/>
        <v>1-2-2-21-40-00</v>
      </c>
      <c r="N352" s="27" t="str">
        <f t="shared" si="32"/>
        <v>BIENES  MUEBLES</v>
      </c>
      <c r="O352" s="4">
        <f t="shared" si="33"/>
        <v>137</v>
      </c>
      <c r="P352" s="4" t="s">
        <v>371</v>
      </c>
      <c r="Q352" s="4" t="str">
        <f t="shared" si="35"/>
        <v>1-2-2-21-40-00-137</v>
      </c>
      <c r="R352" s="4" t="str">
        <f t="shared" si="34"/>
        <v>GUARDERIA LEONARDO RUIZ PINEDA</v>
      </c>
    </row>
    <row r="353" spans="1:18" ht="23.25" x14ac:dyDescent="0.2">
      <c r="A353" s="1">
        <v>1</v>
      </c>
      <c r="B353" s="6" t="str">
        <f>VLOOKUP(A353,'ACTIVOS CODIGO'!A:B,2,0)</f>
        <v>ACTIVO</v>
      </c>
      <c r="C353" s="2">
        <v>2</v>
      </c>
      <c r="D353" s="7" t="str">
        <f>VLOOKUP(C353,'ACTIVOS CODIGO'!C:D,2,0)</f>
        <v>ACTIVO DE LA HACIENDA = ACTIVO NO CORRIENTE</v>
      </c>
      <c r="E353" s="3">
        <v>2</v>
      </c>
      <c r="F353" s="8" t="str">
        <f>VLOOKUP(E353,'ACTIVOS CODIGO'!E:F,2,0)</f>
        <v>ACTIVO EXIGIBLE</v>
      </c>
      <c r="G353" s="10">
        <v>214</v>
      </c>
      <c r="H353" s="10" t="str">
        <f>VLOOKUP(G353,'PUB 21'!$A$1:$B$29,2,0)</f>
        <v>BIENES  MUEBLES</v>
      </c>
      <c r="K353" s="18"/>
      <c r="L353" s="5"/>
      <c r="M353" s="27" t="str">
        <f t="shared" si="31"/>
        <v>1-2-2-21-40-00</v>
      </c>
      <c r="N353" s="27" t="str">
        <f t="shared" si="32"/>
        <v>BIENES  MUEBLES</v>
      </c>
      <c r="O353" s="4">
        <f t="shared" si="33"/>
        <v>138</v>
      </c>
      <c r="P353" s="4" t="s">
        <v>372</v>
      </c>
      <c r="Q353" s="4" t="str">
        <f t="shared" si="35"/>
        <v>1-2-2-21-40-00-138</v>
      </c>
      <c r="R353" s="4" t="str">
        <f t="shared" si="34"/>
        <v>GUARDERIA LOLA DE FUEMAYOR</v>
      </c>
    </row>
    <row r="354" spans="1:18" ht="23.25" x14ac:dyDescent="0.2">
      <c r="A354" s="1">
        <v>1</v>
      </c>
      <c r="B354" s="6" t="str">
        <f>VLOOKUP(A354,'ACTIVOS CODIGO'!A:B,2,0)</f>
        <v>ACTIVO</v>
      </c>
      <c r="C354" s="2">
        <v>2</v>
      </c>
      <c r="D354" s="7" t="str">
        <f>VLOOKUP(C354,'ACTIVOS CODIGO'!C:D,2,0)</f>
        <v>ACTIVO DE LA HACIENDA = ACTIVO NO CORRIENTE</v>
      </c>
      <c r="E354" s="3">
        <v>2</v>
      </c>
      <c r="F354" s="8" t="str">
        <f>VLOOKUP(E354,'ACTIVOS CODIGO'!E:F,2,0)</f>
        <v>ACTIVO EXIGIBLE</v>
      </c>
      <c r="G354" s="10">
        <v>214</v>
      </c>
      <c r="H354" s="10" t="str">
        <f>VLOOKUP(G354,'PUB 21'!$A$1:$B$29,2,0)</f>
        <v>BIENES  MUEBLES</v>
      </c>
      <c r="K354" s="18"/>
      <c r="L354" s="5"/>
      <c r="M354" s="27" t="str">
        <f t="shared" si="31"/>
        <v>1-2-2-21-40-00</v>
      </c>
      <c r="N354" s="27" t="str">
        <f t="shared" si="32"/>
        <v>BIENES  MUEBLES</v>
      </c>
      <c r="O354" s="4">
        <f t="shared" si="33"/>
        <v>139</v>
      </c>
      <c r="P354" s="4" t="s">
        <v>373</v>
      </c>
      <c r="Q354" s="4" t="str">
        <f t="shared" si="35"/>
        <v>1-2-2-21-40-00-139</v>
      </c>
      <c r="R354" s="4" t="str">
        <f t="shared" si="34"/>
        <v>GUARDERIA DR.J.M. DE LOS RIOS</v>
      </c>
    </row>
    <row r="355" spans="1:18" ht="23.25" x14ac:dyDescent="0.2">
      <c r="A355" s="1">
        <v>1</v>
      </c>
      <c r="B355" s="6" t="str">
        <f>VLOOKUP(A355,'ACTIVOS CODIGO'!A:B,2,0)</f>
        <v>ACTIVO</v>
      </c>
      <c r="C355" s="2">
        <v>2</v>
      </c>
      <c r="D355" s="7" t="str">
        <f>VLOOKUP(C355,'ACTIVOS CODIGO'!C:D,2,0)</f>
        <v>ACTIVO DE LA HACIENDA = ACTIVO NO CORRIENTE</v>
      </c>
      <c r="E355" s="3">
        <v>2</v>
      </c>
      <c r="F355" s="8" t="str">
        <f>VLOOKUP(E355,'ACTIVOS CODIGO'!E:F,2,0)</f>
        <v>ACTIVO EXIGIBLE</v>
      </c>
      <c r="G355" s="10">
        <v>214</v>
      </c>
      <c r="H355" s="10" t="str">
        <f>VLOOKUP(G355,'PUB 21'!$A$1:$B$29,2,0)</f>
        <v>BIENES  MUEBLES</v>
      </c>
      <c r="K355" s="18"/>
      <c r="L355" s="5"/>
      <c r="M355" s="27" t="str">
        <f t="shared" si="31"/>
        <v>1-2-2-21-40-00</v>
      </c>
      <c r="N355" s="27" t="str">
        <f t="shared" si="32"/>
        <v>BIENES  MUEBLES</v>
      </c>
      <c r="O355" s="4">
        <f t="shared" si="33"/>
        <v>140</v>
      </c>
      <c r="P355" s="4" t="s">
        <v>374</v>
      </c>
      <c r="Q355" s="4" t="str">
        <f t="shared" si="35"/>
        <v>1-2-2-21-40-00-140</v>
      </c>
      <c r="R355" s="4" t="str">
        <f t="shared" si="34"/>
        <v>GUARDERIA LUISA CASERES DE ARI</v>
      </c>
    </row>
    <row r="356" spans="1:18" ht="23.25" x14ac:dyDescent="0.2">
      <c r="A356" s="1">
        <v>1</v>
      </c>
      <c r="B356" s="6" t="str">
        <f>VLOOKUP(A356,'ACTIVOS CODIGO'!A:B,2,0)</f>
        <v>ACTIVO</v>
      </c>
      <c r="C356" s="2">
        <v>2</v>
      </c>
      <c r="D356" s="7" t="str">
        <f>VLOOKUP(C356,'ACTIVOS CODIGO'!C:D,2,0)</f>
        <v>ACTIVO DE LA HACIENDA = ACTIVO NO CORRIENTE</v>
      </c>
      <c r="E356" s="3">
        <v>2</v>
      </c>
      <c r="F356" s="8" t="str">
        <f>VLOOKUP(E356,'ACTIVOS CODIGO'!E:F,2,0)</f>
        <v>ACTIVO EXIGIBLE</v>
      </c>
      <c r="G356" s="10">
        <v>214</v>
      </c>
      <c r="H356" s="10" t="str">
        <f>VLOOKUP(G356,'PUB 21'!$A$1:$B$29,2,0)</f>
        <v>BIENES  MUEBLES</v>
      </c>
      <c r="K356" s="18"/>
      <c r="L356" s="5"/>
      <c r="M356" s="27" t="str">
        <f t="shared" si="31"/>
        <v>1-2-2-21-40-00</v>
      </c>
      <c r="N356" s="27" t="str">
        <f t="shared" si="32"/>
        <v>BIENES  MUEBLES</v>
      </c>
      <c r="O356" s="4">
        <f t="shared" si="33"/>
        <v>141</v>
      </c>
      <c r="P356" s="4" t="s">
        <v>375</v>
      </c>
      <c r="Q356" s="4" t="str">
        <f t="shared" si="35"/>
        <v>1-2-2-21-40-00-141</v>
      </c>
      <c r="R356" s="4" t="str">
        <f t="shared" si="34"/>
        <v>GUARDERIA AMINTA DEMANANILLA</v>
      </c>
    </row>
    <row r="357" spans="1:18" ht="23.25" x14ac:dyDescent="0.2">
      <c r="A357" s="1">
        <v>1</v>
      </c>
      <c r="B357" s="6" t="str">
        <f>VLOOKUP(A357,'ACTIVOS CODIGO'!A:B,2,0)</f>
        <v>ACTIVO</v>
      </c>
      <c r="C357" s="2">
        <v>2</v>
      </c>
      <c r="D357" s="7" t="str">
        <f>VLOOKUP(C357,'ACTIVOS CODIGO'!C:D,2,0)</f>
        <v>ACTIVO DE LA HACIENDA = ACTIVO NO CORRIENTE</v>
      </c>
      <c r="E357" s="3">
        <v>2</v>
      </c>
      <c r="F357" s="8" t="str">
        <f>VLOOKUP(E357,'ACTIVOS CODIGO'!E:F,2,0)</f>
        <v>ACTIVO EXIGIBLE</v>
      </c>
      <c r="G357" s="10">
        <v>214</v>
      </c>
      <c r="H357" s="10" t="str">
        <f>VLOOKUP(G357,'PUB 21'!$A$1:$B$29,2,0)</f>
        <v>BIENES  MUEBLES</v>
      </c>
      <c r="K357" s="18"/>
      <c r="L357" s="5"/>
      <c r="M357" s="27" t="str">
        <f t="shared" si="31"/>
        <v>1-2-2-21-40-00</v>
      </c>
      <c r="N357" s="27" t="str">
        <f t="shared" si="32"/>
        <v>BIENES  MUEBLES</v>
      </c>
      <c r="O357" s="4">
        <f t="shared" si="33"/>
        <v>142</v>
      </c>
      <c r="P357" s="4" t="s">
        <v>376</v>
      </c>
      <c r="Q357" s="4" t="str">
        <f t="shared" si="35"/>
        <v>1-2-2-21-40-00-142</v>
      </c>
      <c r="R357" s="4" t="str">
        <f t="shared" si="34"/>
        <v>GUARDERIA ANDRES ELOY BLANCO</v>
      </c>
    </row>
    <row r="358" spans="1:18" ht="23.25" x14ac:dyDescent="0.2">
      <c r="A358" s="1">
        <v>1</v>
      </c>
      <c r="B358" s="6" t="str">
        <f>VLOOKUP(A358,'ACTIVOS CODIGO'!A:B,2,0)</f>
        <v>ACTIVO</v>
      </c>
      <c r="C358" s="2">
        <v>2</v>
      </c>
      <c r="D358" s="7" t="str">
        <f>VLOOKUP(C358,'ACTIVOS CODIGO'!C:D,2,0)</f>
        <v>ACTIVO DE LA HACIENDA = ACTIVO NO CORRIENTE</v>
      </c>
      <c r="E358" s="3">
        <v>2</v>
      </c>
      <c r="F358" s="8" t="str">
        <f>VLOOKUP(E358,'ACTIVOS CODIGO'!E:F,2,0)</f>
        <v>ACTIVO EXIGIBLE</v>
      </c>
      <c r="G358" s="10">
        <v>214</v>
      </c>
      <c r="H358" s="10" t="str">
        <f>VLOOKUP(G358,'PUB 21'!$A$1:$B$29,2,0)</f>
        <v>BIENES  MUEBLES</v>
      </c>
      <c r="K358" s="18"/>
      <c r="L358" s="5"/>
      <c r="M358" s="27" t="str">
        <f t="shared" si="31"/>
        <v>1-2-2-21-40-00</v>
      </c>
      <c r="N358" s="27" t="str">
        <f t="shared" si="32"/>
        <v>BIENES  MUEBLES</v>
      </c>
      <c r="O358" s="4">
        <f t="shared" si="33"/>
        <v>143</v>
      </c>
      <c r="P358" s="4" t="s">
        <v>377</v>
      </c>
      <c r="Q358" s="4" t="str">
        <f t="shared" si="35"/>
        <v>1-2-2-21-40-00-143</v>
      </c>
      <c r="R358" s="4" t="str">
        <f t="shared" si="34"/>
        <v>GUARD. CARLOS GUINAND SANDOZ</v>
      </c>
    </row>
    <row r="359" spans="1:18" ht="23.25" x14ac:dyDescent="0.2">
      <c r="A359" s="1">
        <v>1</v>
      </c>
      <c r="B359" s="6" t="str">
        <f>VLOOKUP(A359,'ACTIVOS CODIGO'!A:B,2,0)</f>
        <v>ACTIVO</v>
      </c>
      <c r="C359" s="2">
        <v>2</v>
      </c>
      <c r="D359" s="7" t="str">
        <f>VLOOKUP(C359,'ACTIVOS CODIGO'!C:D,2,0)</f>
        <v>ACTIVO DE LA HACIENDA = ACTIVO NO CORRIENTE</v>
      </c>
      <c r="E359" s="3">
        <v>2</v>
      </c>
      <c r="F359" s="8" t="str">
        <f>VLOOKUP(E359,'ACTIVOS CODIGO'!E:F,2,0)</f>
        <v>ACTIVO EXIGIBLE</v>
      </c>
      <c r="G359" s="10">
        <v>214</v>
      </c>
      <c r="H359" s="10" t="str">
        <f>VLOOKUP(G359,'PUB 21'!$A$1:$B$29,2,0)</f>
        <v>BIENES  MUEBLES</v>
      </c>
      <c r="K359" s="18"/>
      <c r="L359" s="5"/>
      <c r="M359" s="27" t="str">
        <f t="shared" si="31"/>
        <v>1-2-2-21-40-00</v>
      </c>
      <c r="N359" s="27" t="str">
        <f t="shared" si="32"/>
        <v>BIENES  MUEBLES</v>
      </c>
      <c r="O359" s="4">
        <f t="shared" si="33"/>
        <v>144</v>
      </c>
      <c r="P359" s="4" t="s">
        <v>378</v>
      </c>
      <c r="Q359" s="4" t="str">
        <f t="shared" si="35"/>
        <v>1-2-2-21-40-00-144</v>
      </c>
      <c r="R359" s="4" t="str">
        <f t="shared" si="34"/>
        <v>GUARDERIA  COCHECITO</v>
      </c>
    </row>
    <row r="360" spans="1:18" ht="23.25" x14ac:dyDescent="0.2">
      <c r="A360" s="1">
        <v>1</v>
      </c>
      <c r="B360" s="6" t="str">
        <f>VLOOKUP(A360,'ACTIVOS CODIGO'!A:B,2,0)</f>
        <v>ACTIVO</v>
      </c>
      <c r="C360" s="2">
        <v>2</v>
      </c>
      <c r="D360" s="7" t="str">
        <f>VLOOKUP(C360,'ACTIVOS CODIGO'!C:D,2,0)</f>
        <v>ACTIVO DE LA HACIENDA = ACTIVO NO CORRIENTE</v>
      </c>
      <c r="E360" s="3">
        <v>2</v>
      </c>
      <c r="F360" s="8" t="str">
        <f>VLOOKUP(E360,'ACTIVOS CODIGO'!E:F,2,0)</f>
        <v>ACTIVO EXIGIBLE</v>
      </c>
      <c r="G360" s="10">
        <v>214</v>
      </c>
      <c r="H360" s="10" t="str">
        <f>VLOOKUP(G360,'PUB 21'!$A$1:$B$29,2,0)</f>
        <v>BIENES  MUEBLES</v>
      </c>
      <c r="K360" s="18"/>
      <c r="L360" s="5"/>
      <c r="M360" s="27" t="str">
        <f t="shared" si="31"/>
        <v>1-2-2-21-40-00</v>
      </c>
      <c r="N360" s="27" t="str">
        <f t="shared" si="32"/>
        <v>BIENES  MUEBLES</v>
      </c>
      <c r="O360" s="4">
        <f t="shared" si="33"/>
        <v>145</v>
      </c>
      <c r="P360" s="4" t="s">
        <v>379</v>
      </c>
      <c r="Q360" s="4" t="str">
        <f t="shared" si="35"/>
        <v>1-2-2-21-40-00-145</v>
      </c>
      <c r="R360" s="4" t="str">
        <f t="shared" si="34"/>
        <v>GUARDERIA FUNDAPOL</v>
      </c>
    </row>
    <row r="361" spans="1:18" ht="23.25" x14ac:dyDescent="0.2">
      <c r="A361" s="1">
        <v>1</v>
      </c>
      <c r="B361" s="6" t="str">
        <f>VLOOKUP(A361,'ACTIVOS CODIGO'!A:B,2,0)</f>
        <v>ACTIVO</v>
      </c>
      <c r="C361" s="2">
        <v>2</v>
      </c>
      <c r="D361" s="7" t="str">
        <f>VLOOKUP(C361,'ACTIVOS CODIGO'!C:D,2,0)</f>
        <v>ACTIVO DE LA HACIENDA = ACTIVO NO CORRIENTE</v>
      </c>
      <c r="E361" s="3">
        <v>2</v>
      </c>
      <c r="F361" s="8" t="str">
        <f>VLOOKUP(E361,'ACTIVOS CODIGO'!E:F,2,0)</f>
        <v>ACTIVO EXIGIBLE</v>
      </c>
      <c r="G361" s="10">
        <v>214</v>
      </c>
      <c r="H361" s="10" t="str">
        <f>VLOOKUP(G361,'PUB 21'!$A$1:$B$29,2,0)</f>
        <v>BIENES  MUEBLES</v>
      </c>
      <c r="K361" s="18"/>
      <c r="L361" s="5"/>
      <c r="M361" s="27" t="str">
        <f t="shared" si="31"/>
        <v>1-2-2-21-40-00</v>
      </c>
      <c r="N361" s="27" t="str">
        <f t="shared" si="32"/>
        <v>BIENES  MUEBLES</v>
      </c>
      <c r="O361" s="4">
        <f t="shared" si="33"/>
        <v>146</v>
      </c>
      <c r="P361" s="4" t="s">
        <v>380</v>
      </c>
      <c r="Q361" s="4" t="str">
        <f t="shared" si="35"/>
        <v>1-2-2-21-40-00-146</v>
      </c>
      <c r="R361" s="4" t="str">
        <f t="shared" si="34"/>
        <v>GUARDERIA GRACIELA GUARDIA ROJ</v>
      </c>
    </row>
    <row r="362" spans="1:18" ht="23.25" x14ac:dyDescent="0.2">
      <c r="A362" s="1">
        <v>1</v>
      </c>
      <c r="B362" s="6" t="str">
        <f>VLOOKUP(A362,'ACTIVOS CODIGO'!A:B,2,0)</f>
        <v>ACTIVO</v>
      </c>
      <c r="C362" s="2">
        <v>2</v>
      </c>
      <c r="D362" s="7" t="str">
        <f>VLOOKUP(C362,'ACTIVOS CODIGO'!C:D,2,0)</f>
        <v>ACTIVO DE LA HACIENDA = ACTIVO NO CORRIENTE</v>
      </c>
      <c r="E362" s="3">
        <v>2</v>
      </c>
      <c r="F362" s="8" t="str">
        <f>VLOOKUP(E362,'ACTIVOS CODIGO'!E:F,2,0)</f>
        <v>ACTIVO EXIGIBLE</v>
      </c>
      <c r="G362" s="10">
        <v>214</v>
      </c>
      <c r="H362" s="10" t="str">
        <f>VLOOKUP(G362,'PUB 21'!$A$1:$B$29,2,0)</f>
        <v>BIENES  MUEBLES</v>
      </c>
      <c r="K362" s="18"/>
      <c r="L362" s="5"/>
      <c r="M362" s="27" t="str">
        <f t="shared" si="31"/>
        <v>1-2-2-21-40-00</v>
      </c>
      <c r="N362" s="27" t="str">
        <f t="shared" si="32"/>
        <v>BIENES  MUEBLES</v>
      </c>
      <c r="O362" s="4">
        <f t="shared" si="33"/>
        <v>147</v>
      </c>
      <c r="P362" s="4" t="s">
        <v>381</v>
      </c>
      <c r="Q362" s="4" t="str">
        <f t="shared" si="35"/>
        <v>1-2-2-21-40-00-147</v>
      </c>
      <c r="R362" s="4" t="str">
        <f t="shared" si="34"/>
        <v>COORD. DE EDUCACION SOCIAL</v>
      </c>
    </row>
    <row r="363" spans="1:18" ht="23.25" x14ac:dyDescent="0.2">
      <c r="A363" s="1">
        <v>1</v>
      </c>
      <c r="B363" s="6" t="str">
        <f>VLOOKUP(A363,'ACTIVOS CODIGO'!A:B,2,0)</f>
        <v>ACTIVO</v>
      </c>
      <c r="C363" s="2">
        <v>2</v>
      </c>
      <c r="D363" s="7" t="str">
        <f>VLOOKUP(C363,'ACTIVOS CODIGO'!C:D,2,0)</f>
        <v>ACTIVO DE LA HACIENDA = ACTIVO NO CORRIENTE</v>
      </c>
      <c r="E363" s="3">
        <v>2</v>
      </c>
      <c r="F363" s="8" t="str">
        <f>VLOOKUP(E363,'ACTIVOS CODIGO'!E:F,2,0)</f>
        <v>ACTIVO EXIGIBLE</v>
      </c>
      <c r="G363" s="10">
        <v>214</v>
      </c>
      <c r="H363" s="10" t="str">
        <f>VLOOKUP(G363,'PUB 21'!$A$1:$B$29,2,0)</f>
        <v>BIENES  MUEBLES</v>
      </c>
      <c r="K363" s="18"/>
      <c r="L363" s="5"/>
      <c r="M363" s="27" t="str">
        <f t="shared" si="31"/>
        <v>1-2-2-21-40-00</v>
      </c>
      <c r="N363" s="27" t="str">
        <f t="shared" si="32"/>
        <v>BIENES  MUEBLES</v>
      </c>
      <c r="O363" s="4">
        <f t="shared" si="33"/>
        <v>148</v>
      </c>
      <c r="P363" s="4" t="s">
        <v>382</v>
      </c>
      <c r="Q363" s="4" t="str">
        <f t="shared" si="35"/>
        <v>1-2-2-21-40-00-148</v>
      </c>
      <c r="R363" s="4" t="str">
        <f t="shared" si="34"/>
        <v>C.E.M.A.I. I EL RECREO</v>
      </c>
    </row>
    <row r="364" spans="1:18" ht="23.25" x14ac:dyDescent="0.2">
      <c r="A364" s="1">
        <v>1</v>
      </c>
      <c r="B364" s="6" t="str">
        <f>VLOOKUP(A364,'ACTIVOS CODIGO'!A:B,2,0)</f>
        <v>ACTIVO</v>
      </c>
      <c r="C364" s="2">
        <v>2</v>
      </c>
      <c r="D364" s="7" t="str">
        <f>VLOOKUP(C364,'ACTIVOS CODIGO'!C:D,2,0)</f>
        <v>ACTIVO DE LA HACIENDA = ACTIVO NO CORRIENTE</v>
      </c>
      <c r="E364" s="3">
        <v>2</v>
      </c>
      <c r="F364" s="8" t="str">
        <f>VLOOKUP(E364,'ACTIVOS CODIGO'!E:F,2,0)</f>
        <v>ACTIVO EXIGIBLE</v>
      </c>
      <c r="G364" s="10">
        <v>214</v>
      </c>
      <c r="H364" s="10" t="str">
        <f>VLOOKUP(G364,'PUB 21'!$A$1:$B$29,2,0)</f>
        <v>BIENES  MUEBLES</v>
      </c>
      <c r="K364" s="18"/>
      <c r="L364" s="5"/>
      <c r="M364" s="27" t="str">
        <f t="shared" si="31"/>
        <v>1-2-2-21-40-00</v>
      </c>
      <c r="N364" s="27" t="str">
        <f t="shared" si="32"/>
        <v>BIENES  MUEBLES</v>
      </c>
      <c r="O364" s="4">
        <f t="shared" si="33"/>
        <v>149</v>
      </c>
      <c r="P364" s="4" t="s">
        <v>383</v>
      </c>
      <c r="Q364" s="4" t="str">
        <f t="shared" si="35"/>
        <v>1-2-2-21-40-00-149</v>
      </c>
      <c r="R364" s="4" t="str">
        <f t="shared" si="34"/>
        <v>CENT. MCPAL APOY.P.C. SAN JUAN</v>
      </c>
    </row>
    <row r="365" spans="1:18" ht="23.25" x14ac:dyDescent="0.2">
      <c r="A365" s="1">
        <v>1</v>
      </c>
      <c r="B365" s="6" t="str">
        <f>VLOOKUP(A365,'ACTIVOS CODIGO'!A:B,2,0)</f>
        <v>ACTIVO</v>
      </c>
      <c r="C365" s="2">
        <v>2</v>
      </c>
      <c r="D365" s="7" t="str">
        <f>VLOOKUP(C365,'ACTIVOS CODIGO'!C:D,2,0)</f>
        <v>ACTIVO DE LA HACIENDA = ACTIVO NO CORRIENTE</v>
      </c>
      <c r="E365" s="3">
        <v>2</v>
      </c>
      <c r="F365" s="8" t="str">
        <f>VLOOKUP(E365,'ACTIVOS CODIGO'!E:F,2,0)</f>
        <v>ACTIVO EXIGIBLE</v>
      </c>
      <c r="G365" s="10">
        <v>214</v>
      </c>
      <c r="H365" s="10" t="str">
        <f>VLOOKUP(G365,'PUB 21'!$A$1:$B$29,2,0)</f>
        <v>BIENES  MUEBLES</v>
      </c>
      <c r="K365" s="18"/>
      <c r="L365" s="5"/>
      <c r="M365" s="27" t="str">
        <f t="shared" si="31"/>
        <v>1-2-2-21-40-00</v>
      </c>
      <c r="N365" s="27" t="str">
        <f t="shared" si="32"/>
        <v>BIENES  MUEBLES</v>
      </c>
      <c r="O365" s="4">
        <f t="shared" si="33"/>
        <v>150</v>
      </c>
      <c r="P365" s="4" t="s">
        <v>384</v>
      </c>
      <c r="Q365" s="4" t="str">
        <f t="shared" si="35"/>
        <v>1-2-2-21-40-00-150</v>
      </c>
      <c r="R365" s="4" t="str">
        <f t="shared" si="34"/>
        <v>CENTRO ATENC. INTEG. IV. CARICUAO</v>
      </c>
    </row>
    <row r="366" spans="1:18" ht="23.25" x14ac:dyDescent="0.2">
      <c r="A366" s="1">
        <v>1</v>
      </c>
      <c r="B366" s="6" t="str">
        <f>VLOOKUP(A366,'ACTIVOS CODIGO'!A:B,2,0)</f>
        <v>ACTIVO</v>
      </c>
      <c r="C366" s="2">
        <v>2</v>
      </c>
      <c r="D366" s="7" t="str">
        <f>VLOOKUP(C366,'ACTIVOS CODIGO'!C:D,2,0)</f>
        <v>ACTIVO DE LA HACIENDA = ACTIVO NO CORRIENTE</v>
      </c>
      <c r="E366" s="3">
        <v>2</v>
      </c>
      <c r="F366" s="8" t="str">
        <f>VLOOKUP(E366,'ACTIVOS CODIGO'!E:F,2,0)</f>
        <v>ACTIVO EXIGIBLE</v>
      </c>
      <c r="G366" s="10">
        <v>214</v>
      </c>
      <c r="H366" s="10" t="str">
        <f>VLOOKUP(G366,'PUB 21'!$A$1:$B$29,2,0)</f>
        <v>BIENES  MUEBLES</v>
      </c>
      <c r="K366" s="18"/>
      <c r="L366" s="5"/>
      <c r="M366" s="27" t="str">
        <f t="shared" si="31"/>
        <v>1-2-2-21-40-00</v>
      </c>
      <c r="N366" s="27" t="str">
        <f t="shared" si="32"/>
        <v>BIENES  MUEBLES</v>
      </c>
      <c r="O366" s="4">
        <f t="shared" si="33"/>
        <v>151</v>
      </c>
      <c r="P366" s="4" t="s">
        <v>385</v>
      </c>
      <c r="Q366" s="4" t="str">
        <f t="shared" si="35"/>
        <v>1-2-2-21-40-00-151</v>
      </c>
      <c r="R366" s="4" t="str">
        <f t="shared" si="34"/>
        <v>CENTRO ATENC. INTEG. INT. LA CANDELARIA</v>
      </c>
    </row>
    <row r="367" spans="1:18" ht="23.25" x14ac:dyDescent="0.2">
      <c r="A367" s="1">
        <v>1</v>
      </c>
      <c r="B367" s="6" t="str">
        <f>VLOOKUP(A367,'ACTIVOS CODIGO'!A:B,2,0)</f>
        <v>ACTIVO</v>
      </c>
      <c r="C367" s="2">
        <v>2</v>
      </c>
      <c r="D367" s="7" t="str">
        <f>VLOOKUP(C367,'ACTIVOS CODIGO'!C:D,2,0)</f>
        <v>ACTIVO DE LA HACIENDA = ACTIVO NO CORRIENTE</v>
      </c>
      <c r="E367" s="3">
        <v>2</v>
      </c>
      <c r="F367" s="8" t="str">
        <f>VLOOKUP(E367,'ACTIVOS CODIGO'!E:F,2,0)</f>
        <v>ACTIVO EXIGIBLE</v>
      </c>
      <c r="G367" s="10">
        <v>214</v>
      </c>
      <c r="H367" s="10" t="str">
        <f>VLOOKUP(G367,'PUB 21'!$A$1:$B$29,2,0)</f>
        <v>BIENES  MUEBLES</v>
      </c>
      <c r="K367" s="18"/>
      <c r="L367" s="5"/>
      <c r="M367" s="27" t="str">
        <f t="shared" si="31"/>
        <v>1-2-2-21-40-00</v>
      </c>
      <c r="N367" s="27" t="str">
        <f t="shared" si="32"/>
        <v>BIENES  MUEBLES</v>
      </c>
      <c r="O367" s="4">
        <f t="shared" si="33"/>
        <v>152</v>
      </c>
      <c r="P367" s="4" t="s">
        <v>386</v>
      </c>
      <c r="Q367" s="4" t="str">
        <f t="shared" si="35"/>
        <v>1-2-2-21-40-00-152</v>
      </c>
      <c r="R367" s="4" t="str">
        <f t="shared" si="34"/>
        <v>CENT. ATENC. INT. SAN BERNARDINO</v>
      </c>
    </row>
    <row r="368" spans="1:18" ht="23.25" x14ac:dyDescent="0.2">
      <c r="A368" s="1">
        <v>1</v>
      </c>
      <c r="B368" s="6" t="str">
        <f>VLOOKUP(A368,'ACTIVOS CODIGO'!A:B,2,0)</f>
        <v>ACTIVO</v>
      </c>
      <c r="C368" s="2">
        <v>2</v>
      </c>
      <c r="D368" s="7" t="str">
        <f>VLOOKUP(C368,'ACTIVOS CODIGO'!C:D,2,0)</f>
        <v>ACTIVO DE LA HACIENDA = ACTIVO NO CORRIENTE</v>
      </c>
      <c r="E368" s="3">
        <v>2</v>
      </c>
      <c r="F368" s="8" t="str">
        <f>VLOOKUP(E368,'ACTIVOS CODIGO'!E:F,2,0)</f>
        <v>ACTIVO EXIGIBLE</v>
      </c>
      <c r="G368" s="10">
        <v>214</v>
      </c>
      <c r="H368" s="10" t="str">
        <f>VLOOKUP(G368,'PUB 21'!$A$1:$B$29,2,0)</f>
        <v>BIENES  MUEBLES</v>
      </c>
      <c r="K368" s="18"/>
      <c r="L368" s="5"/>
      <c r="M368" s="27" t="str">
        <f t="shared" si="31"/>
        <v>1-2-2-21-40-00</v>
      </c>
      <c r="N368" s="27" t="str">
        <f t="shared" si="32"/>
        <v>BIENES  MUEBLES</v>
      </c>
      <c r="O368" s="4">
        <f t="shared" si="33"/>
        <v>153</v>
      </c>
      <c r="P368" s="4" t="s">
        <v>387</v>
      </c>
      <c r="Q368" s="4" t="str">
        <f t="shared" si="35"/>
        <v>1-2-2-21-40-00-153</v>
      </c>
      <c r="R368" s="4" t="str">
        <f t="shared" si="34"/>
        <v>CENTRO ATENC. INT.V SAN AGUST.</v>
      </c>
    </row>
    <row r="369" spans="1:18" ht="23.25" x14ac:dyDescent="0.2">
      <c r="A369" s="1">
        <v>1</v>
      </c>
      <c r="B369" s="6" t="str">
        <f>VLOOKUP(A369,'ACTIVOS CODIGO'!A:B,2,0)</f>
        <v>ACTIVO</v>
      </c>
      <c r="C369" s="2">
        <v>2</v>
      </c>
      <c r="D369" s="7" t="str">
        <f>VLOOKUP(C369,'ACTIVOS CODIGO'!C:D,2,0)</f>
        <v>ACTIVO DE LA HACIENDA = ACTIVO NO CORRIENTE</v>
      </c>
      <c r="E369" s="3">
        <v>2</v>
      </c>
      <c r="F369" s="8" t="str">
        <f>VLOOKUP(E369,'ACTIVOS CODIGO'!E:F,2,0)</f>
        <v>ACTIVO EXIGIBLE</v>
      </c>
      <c r="G369" s="10">
        <v>214</v>
      </c>
      <c r="H369" s="10" t="str">
        <f>VLOOKUP(G369,'PUB 21'!$A$1:$B$29,2,0)</f>
        <v>BIENES  MUEBLES</v>
      </c>
      <c r="K369" s="18"/>
      <c r="L369" s="5"/>
      <c r="M369" s="27" t="str">
        <f t="shared" si="31"/>
        <v>1-2-2-21-40-00</v>
      </c>
      <c r="N369" s="27" t="str">
        <f t="shared" si="32"/>
        <v>BIENES  MUEBLES</v>
      </c>
      <c r="O369" s="4">
        <f t="shared" si="33"/>
        <v>154</v>
      </c>
      <c r="P369" s="4" t="s">
        <v>388</v>
      </c>
      <c r="Q369" s="4" t="str">
        <f t="shared" si="35"/>
        <v>1-2-2-21-40-00-154</v>
      </c>
      <c r="R369" s="4" t="str">
        <f t="shared" si="34"/>
        <v>CENT. ATENC. INTEG.SAN PEDRO</v>
      </c>
    </row>
    <row r="370" spans="1:18" ht="23.25" x14ac:dyDescent="0.2">
      <c r="A370" s="1">
        <v>1</v>
      </c>
      <c r="B370" s="6" t="str">
        <f>VLOOKUP(A370,'ACTIVOS CODIGO'!A:B,2,0)</f>
        <v>ACTIVO</v>
      </c>
      <c r="C370" s="2">
        <v>2</v>
      </c>
      <c r="D370" s="7" t="str">
        <f>VLOOKUP(C370,'ACTIVOS CODIGO'!C:D,2,0)</f>
        <v>ACTIVO DE LA HACIENDA = ACTIVO NO CORRIENTE</v>
      </c>
      <c r="E370" s="3">
        <v>2</v>
      </c>
      <c r="F370" s="8" t="str">
        <f>VLOOKUP(E370,'ACTIVOS CODIGO'!E:F,2,0)</f>
        <v>ACTIVO EXIGIBLE</v>
      </c>
      <c r="G370" s="10">
        <v>214</v>
      </c>
      <c r="H370" s="10" t="str">
        <f>VLOOKUP(G370,'PUB 21'!$A$1:$B$29,2,0)</f>
        <v>BIENES  MUEBLES</v>
      </c>
      <c r="K370" s="18"/>
      <c r="L370" s="5"/>
      <c r="M370" s="27" t="str">
        <f t="shared" si="31"/>
        <v>1-2-2-21-40-00</v>
      </c>
      <c r="N370" s="27" t="str">
        <f t="shared" si="32"/>
        <v>BIENES  MUEBLES</v>
      </c>
      <c r="O370" s="4">
        <f t="shared" si="33"/>
        <v>155</v>
      </c>
      <c r="P370" s="4" t="s">
        <v>389</v>
      </c>
      <c r="Q370" s="4" t="str">
        <f t="shared" si="35"/>
        <v>1-2-2-21-40-00-155</v>
      </c>
      <c r="R370" s="4" t="str">
        <f t="shared" si="34"/>
        <v>CENTRO ANT. INTEG.VI COCHE</v>
      </c>
    </row>
    <row r="371" spans="1:18" ht="23.25" x14ac:dyDescent="0.2">
      <c r="A371" s="1">
        <v>1</v>
      </c>
      <c r="B371" s="6" t="str">
        <f>VLOOKUP(A371,'ACTIVOS CODIGO'!A:B,2,0)</f>
        <v>ACTIVO</v>
      </c>
      <c r="C371" s="2">
        <v>2</v>
      </c>
      <c r="D371" s="7" t="str">
        <f>VLOOKUP(C371,'ACTIVOS CODIGO'!C:D,2,0)</f>
        <v>ACTIVO DE LA HACIENDA = ACTIVO NO CORRIENTE</v>
      </c>
      <c r="E371" s="3">
        <v>2</v>
      </c>
      <c r="F371" s="8" t="str">
        <f>VLOOKUP(E371,'ACTIVOS CODIGO'!E:F,2,0)</f>
        <v>ACTIVO EXIGIBLE</v>
      </c>
      <c r="G371" s="10">
        <v>214</v>
      </c>
      <c r="H371" s="10" t="str">
        <f>VLOOKUP(G371,'PUB 21'!$A$1:$B$29,2,0)</f>
        <v>BIENES  MUEBLES</v>
      </c>
      <c r="K371" s="18"/>
      <c r="L371" s="5"/>
      <c r="M371" s="27" t="str">
        <f t="shared" si="31"/>
        <v>1-2-2-21-40-00</v>
      </c>
      <c r="N371" s="27" t="str">
        <f t="shared" si="32"/>
        <v>BIENES  MUEBLES</v>
      </c>
      <c r="O371" s="4">
        <f t="shared" si="33"/>
        <v>156</v>
      </c>
      <c r="P371" s="4" t="s">
        <v>390</v>
      </c>
      <c r="Q371" s="4" t="str">
        <f t="shared" si="35"/>
        <v>1-2-2-21-40-00-156</v>
      </c>
      <c r="R371" s="4" t="str">
        <f t="shared" si="34"/>
        <v>CENTRO DE ATENC.INTEG. PASTORA</v>
      </c>
    </row>
    <row r="372" spans="1:18" ht="23.25" x14ac:dyDescent="0.2">
      <c r="A372" s="1">
        <v>1</v>
      </c>
      <c r="B372" s="6" t="str">
        <f>VLOOKUP(A372,'ACTIVOS CODIGO'!A:B,2,0)</f>
        <v>ACTIVO</v>
      </c>
      <c r="C372" s="2">
        <v>2</v>
      </c>
      <c r="D372" s="7" t="str">
        <f>VLOOKUP(C372,'ACTIVOS CODIGO'!C:D,2,0)</f>
        <v>ACTIVO DE LA HACIENDA = ACTIVO NO CORRIENTE</v>
      </c>
      <c r="E372" s="3">
        <v>2</v>
      </c>
      <c r="F372" s="8" t="str">
        <f>VLOOKUP(E372,'ACTIVOS CODIGO'!E:F,2,0)</f>
        <v>ACTIVO EXIGIBLE</v>
      </c>
      <c r="G372" s="10">
        <v>214</v>
      </c>
      <c r="H372" s="10" t="str">
        <f>VLOOKUP(G372,'PUB 21'!$A$1:$B$29,2,0)</f>
        <v>BIENES  MUEBLES</v>
      </c>
      <c r="K372" s="18"/>
      <c r="L372" s="5"/>
      <c r="M372" s="27" t="str">
        <f t="shared" si="31"/>
        <v>1-2-2-21-40-00</v>
      </c>
      <c r="N372" s="27" t="str">
        <f t="shared" si="32"/>
        <v>BIENES  MUEBLES</v>
      </c>
      <c r="O372" s="4">
        <f t="shared" si="33"/>
        <v>157</v>
      </c>
      <c r="P372" s="4" t="s">
        <v>391</v>
      </c>
      <c r="Q372" s="4" t="str">
        <f t="shared" si="35"/>
        <v>1-2-2-21-40-00-157</v>
      </c>
      <c r="R372" s="4" t="str">
        <f t="shared" si="34"/>
        <v>CENTRO DE ATENC. INT. ANTIMANO</v>
      </c>
    </row>
    <row r="373" spans="1:18" ht="23.25" x14ac:dyDescent="0.2">
      <c r="A373" s="1">
        <v>1</v>
      </c>
      <c r="B373" s="6" t="str">
        <f>VLOOKUP(A373,'ACTIVOS CODIGO'!A:B,2,0)</f>
        <v>ACTIVO</v>
      </c>
      <c r="C373" s="2">
        <v>2</v>
      </c>
      <c r="D373" s="7" t="str">
        <f>VLOOKUP(C373,'ACTIVOS CODIGO'!C:D,2,0)</f>
        <v>ACTIVO DE LA HACIENDA = ACTIVO NO CORRIENTE</v>
      </c>
      <c r="E373" s="3">
        <v>2</v>
      </c>
      <c r="F373" s="8" t="str">
        <f>VLOOKUP(E373,'ACTIVOS CODIGO'!E:F,2,0)</f>
        <v>ACTIVO EXIGIBLE</v>
      </c>
      <c r="G373" s="10">
        <v>214</v>
      </c>
      <c r="H373" s="10" t="str">
        <f>VLOOKUP(G373,'PUB 21'!$A$1:$B$29,2,0)</f>
        <v>BIENES  MUEBLES</v>
      </c>
      <c r="K373" s="18"/>
      <c r="L373" s="5"/>
      <c r="M373" s="27" t="str">
        <f t="shared" si="31"/>
        <v>1-2-2-21-40-00</v>
      </c>
      <c r="N373" s="27" t="str">
        <f t="shared" si="32"/>
        <v>BIENES  MUEBLES</v>
      </c>
      <c r="O373" s="4">
        <f t="shared" si="33"/>
        <v>158</v>
      </c>
      <c r="P373" s="4" t="s">
        <v>392</v>
      </c>
      <c r="Q373" s="4" t="str">
        <f t="shared" si="35"/>
        <v>1-2-2-21-40-00-158</v>
      </c>
      <c r="R373" s="4" t="str">
        <f t="shared" si="34"/>
        <v>CENTRO ATENC.INTEG. VIII 23 ENE</v>
      </c>
    </row>
    <row r="374" spans="1:18" ht="23.25" x14ac:dyDescent="0.2">
      <c r="A374" s="1">
        <v>1</v>
      </c>
      <c r="B374" s="6" t="str">
        <f>VLOOKUP(A374,'ACTIVOS CODIGO'!A:B,2,0)</f>
        <v>ACTIVO</v>
      </c>
      <c r="C374" s="2">
        <v>2</v>
      </c>
      <c r="D374" s="7" t="str">
        <f>VLOOKUP(C374,'ACTIVOS CODIGO'!C:D,2,0)</f>
        <v>ACTIVO DE LA HACIENDA = ACTIVO NO CORRIENTE</v>
      </c>
      <c r="E374" s="3">
        <v>2</v>
      </c>
      <c r="F374" s="8" t="str">
        <f>VLOOKUP(E374,'ACTIVOS CODIGO'!E:F,2,0)</f>
        <v>ACTIVO EXIGIBLE</v>
      </c>
      <c r="G374" s="10">
        <v>214</v>
      </c>
      <c r="H374" s="10" t="str">
        <f>VLOOKUP(G374,'PUB 21'!$A$1:$B$29,2,0)</f>
        <v>BIENES  MUEBLES</v>
      </c>
      <c r="K374" s="18"/>
      <c r="L374" s="5"/>
      <c r="M374" s="27" t="str">
        <f t="shared" si="31"/>
        <v>1-2-2-21-40-00</v>
      </c>
      <c r="N374" s="27" t="str">
        <f t="shared" si="32"/>
        <v>BIENES  MUEBLES</v>
      </c>
      <c r="O374" s="4">
        <f t="shared" si="33"/>
        <v>159</v>
      </c>
      <c r="P374" s="4" t="s">
        <v>393</v>
      </c>
      <c r="Q374" s="4" t="str">
        <f t="shared" si="35"/>
        <v>1-2-2-21-40-00-159</v>
      </c>
      <c r="R374" s="4" t="str">
        <f t="shared" si="34"/>
        <v>CENTRO ATENC. INT CATEDRAL</v>
      </c>
    </row>
    <row r="375" spans="1:18" ht="23.25" x14ac:dyDescent="0.2">
      <c r="A375" s="1">
        <v>1</v>
      </c>
      <c r="B375" s="6" t="str">
        <f>VLOOKUP(A375,'ACTIVOS CODIGO'!A:B,2,0)</f>
        <v>ACTIVO</v>
      </c>
      <c r="C375" s="2">
        <v>2</v>
      </c>
      <c r="D375" s="7" t="str">
        <f>VLOOKUP(C375,'ACTIVOS CODIGO'!C:D,2,0)</f>
        <v>ACTIVO DE LA HACIENDA = ACTIVO NO CORRIENTE</v>
      </c>
      <c r="E375" s="3">
        <v>2</v>
      </c>
      <c r="F375" s="8" t="str">
        <f>VLOOKUP(E375,'ACTIVOS CODIGO'!E:F,2,0)</f>
        <v>ACTIVO EXIGIBLE</v>
      </c>
      <c r="G375" s="10">
        <v>214</v>
      </c>
      <c r="H375" s="10" t="str">
        <f>VLOOKUP(G375,'PUB 21'!$A$1:$B$29,2,0)</f>
        <v>BIENES  MUEBLES</v>
      </c>
      <c r="K375" s="18"/>
      <c r="L375" s="5"/>
      <c r="M375" s="27" t="str">
        <f t="shared" si="31"/>
        <v>1-2-2-21-40-00</v>
      </c>
      <c r="N375" s="27" t="str">
        <f t="shared" si="32"/>
        <v>BIENES  MUEBLES</v>
      </c>
      <c r="O375" s="4">
        <f t="shared" si="33"/>
        <v>160</v>
      </c>
      <c r="P375" s="4" t="s">
        <v>394</v>
      </c>
      <c r="Q375" s="4" t="str">
        <f t="shared" si="35"/>
        <v>1-2-2-21-40-00-160</v>
      </c>
      <c r="R375" s="4" t="str">
        <f t="shared" si="34"/>
        <v>CENTRO ATENC. INT.IX LA VEGA</v>
      </c>
    </row>
    <row r="376" spans="1:18" ht="23.25" x14ac:dyDescent="0.2">
      <c r="A376" s="1">
        <v>1</v>
      </c>
      <c r="B376" s="6" t="str">
        <f>VLOOKUP(A376,'ACTIVOS CODIGO'!A:B,2,0)</f>
        <v>ACTIVO</v>
      </c>
      <c r="C376" s="2">
        <v>2</v>
      </c>
      <c r="D376" s="7" t="str">
        <f>VLOOKUP(C376,'ACTIVOS CODIGO'!C:D,2,0)</f>
        <v>ACTIVO DE LA HACIENDA = ACTIVO NO CORRIENTE</v>
      </c>
      <c r="E376" s="3">
        <v>2</v>
      </c>
      <c r="F376" s="8" t="str">
        <f>VLOOKUP(E376,'ACTIVOS CODIGO'!E:F,2,0)</f>
        <v>ACTIVO EXIGIBLE</v>
      </c>
      <c r="G376" s="10">
        <v>214</v>
      </c>
      <c r="H376" s="10" t="str">
        <f>VLOOKUP(G376,'PUB 21'!$A$1:$B$29,2,0)</f>
        <v>BIENES  MUEBLES</v>
      </c>
      <c r="K376" s="18"/>
      <c r="L376" s="5"/>
      <c r="M376" s="27" t="str">
        <f t="shared" ref="M376:M428" si="36">CONCATENATE(TEXT(A376,"0"),"-",TEXT(C376,"0"),"-",TEXT(E376,"0"),"-",TEXT(LEFT(G376,2),"00"),"-",TEXT(RIGHT(G376,1),"0"),TEXT(I376,"0"),"-",TEXT(K376,"00"))</f>
        <v>1-2-2-21-40-00</v>
      </c>
      <c r="N376" s="27" t="str">
        <f t="shared" ref="N376:N428" si="37">IF(L376="",IF(J376="",IF(H376="",IF(F376="",IF(D376="",B376,D376),F376),H376),J376),L376)</f>
        <v>BIENES  MUEBLES</v>
      </c>
      <c r="O376" s="4">
        <f t="shared" si="33"/>
        <v>161</v>
      </c>
      <c r="P376" s="4" t="s">
        <v>395</v>
      </c>
      <c r="Q376" s="4" t="str">
        <f t="shared" si="35"/>
        <v>1-2-2-21-40-00-161</v>
      </c>
      <c r="R376" s="4" t="str">
        <f t="shared" si="34"/>
        <v>C.E.M.A.I. XI ALTAGRACIA</v>
      </c>
    </row>
    <row r="377" spans="1:18" ht="23.25" x14ac:dyDescent="0.2">
      <c r="A377" s="1">
        <v>1</v>
      </c>
      <c r="B377" s="6" t="str">
        <f>VLOOKUP(A377,'ACTIVOS CODIGO'!A:B,2,0)</f>
        <v>ACTIVO</v>
      </c>
      <c r="C377" s="2">
        <v>2</v>
      </c>
      <c r="D377" s="7" t="str">
        <f>VLOOKUP(C377,'ACTIVOS CODIGO'!C:D,2,0)</f>
        <v>ACTIVO DE LA HACIENDA = ACTIVO NO CORRIENTE</v>
      </c>
      <c r="E377" s="3">
        <v>2</v>
      </c>
      <c r="F377" s="8" t="str">
        <f>VLOOKUP(E377,'ACTIVOS CODIGO'!E:F,2,0)</f>
        <v>ACTIVO EXIGIBLE</v>
      </c>
      <c r="G377" s="10">
        <v>214</v>
      </c>
      <c r="H377" s="10" t="str">
        <f>VLOOKUP(G377,'PUB 21'!$A$1:$B$29,2,0)</f>
        <v>BIENES  MUEBLES</v>
      </c>
      <c r="K377" s="18"/>
      <c r="L377" s="5"/>
      <c r="M377" s="27" t="str">
        <f t="shared" si="36"/>
        <v>1-2-2-21-40-00</v>
      </c>
      <c r="N377" s="27" t="str">
        <f t="shared" si="37"/>
        <v>BIENES  MUEBLES</v>
      </c>
      <c r="O377" s="4">
        <f t="shared" si="33"/>
        <v>162</v>
      </c>
      <c r="P377" s="4" t="s">
        <v>396</v>
      </c>
      <c r="Q377" s="4" t="str">
        <f t="shared" si="35"/>
        <v>1-2-2-21-40-00-162</v>
      </c>
      <c r="R377" s="4" t="str">
        <f t="shared" si="34"/>
        <v>C.E.M.A.I. VII SANTA TERESA</v>
      </c>
    </row>
    <row r="378" spans="1:18" ht="23.25" x14ac:dyDescent="0.2">
      <c r="A378" s="1">
        <v>1</v>
      </c>
      <c r="B378" s="6" t="str">
        <f>VLOOKUP(A378,'ACTIVOS CODIGO'!A:B,2,0)</f>
        <v>ACTIVO</v>
      </c>
      <c r="C378" s="2">
        <v>2</v>
      </c>
      <c r="D378" s="7" t="str">
        <f>VLOOKUP(C378,'ACTIVOS CODIGO'!C:D,2,0)</f>
        <v>ACTIVO DE LA HACIENDA = ACTIVO NO CORRIENTE</v>
      </c>
      <c r="E378" s="3">
        <v>2</v>
      </c>
      <c r="F378" s="8" t="str">
        <f>VLOOKUP(E378,'ACTIVOS CODIGO'!E:F,2,0)</f>
        <v>ACTIVO EXIGIBLE</v>
      </c>
      <c r="G378" s="10">
        <v>214</v>
      </c>
      <c r="H378" s="10" t="str">
        <f>VLOOKUP(G378,'PUB 21'!$A$1:$B$29,2,0)</f>
        <v>BIENES  MUEBLES</v>
      </c>
      <c r="K378" s="18"/>
      <c r="L378" s="5"/>
      <c r="M378" s="27" t="str">
        <f t="shared" si="36"/>
        <v>1-2-2-21-40-00</v>
      </c>
      <c r="N378" s="27" t="str">
        <f t="shared" si="37"/>
        <v>BIENES  MUEBLES</v>
      </c>
      <c r="O378" s="4">
        <f t="shared" si="33"/>
        <v>163</v>
      </c>
      <c r="P378" s="4" t="s">
        <v>397</v>
      </c>
      <c r="Q378" s="4" t="str">
        <f t="shared" si="35"/>
        <v>1-2-2-21-40-00-163</v>
      </c>
      <c r="R378" s="4" t="str">
        <f t="shared" si="34"/>
        <v>CENTRO ATENC. INT. XII MACAR.</v>
      </c>
    </row>
    <row r="379" spans="1:18" ht="23.25" x14ac:dyDescent="0.2">
      <c r="A379" s="1">
        <v>1</v>
      </c>
      <c r="B379" s="6" t="str">
        <f>VLOOKUP(A379,'ACTIVOS CODIGO'!A:B,2,0)</f>
        <v>ACTIVO</v>
      </c>
      <c r="C379" s="2">
        <v>2</v>
      </c>
      <c r="D379" s="7" t="str">
        <f>VLOOKUP(C379,'ACTIVOS CODIGO'!C:D,2,0)</f>
        <v>ACTIVO DE LA HACIENDA = ACTIVO NO CORRIENTE</v>
      </c>
      <c r="E379" s="3">
        <v>2</v>
      </c>
      <c r="F379" s="8" t="str">
        <f>VLOOKUP(E379,'ACTIVOS CODIGO'!E:F,2,0)</f>
        <v>ACTIVO EXIGIBLE</v>
      </c>
      <c r="G379" s="10">
        <v>214</v>
      </c>
      <c r="H379" s="10" t="str">
        <f>VLOOKUP(G379,'PUB 21'!$A$1:$B$29,2,0)</f>
        <v>BIENES  MUEBLES</v>
      </c>
      <c r="K379" s="18"/>
      <c r="L379" s="5"/>
      <c r="M379" s="27" t="str">
        <f t="shared" si="36"/>
        <v>1-2-2-21-40-00</v>
      </c>
      <c r="N379" s="27" t="str">
        <f t="shared" si="37"/>
        <v>BIENES  MUEBLES</v>
      </c>
      <c r="O379" s="4">
        <f t="shared" si="33"/>
        <v>164</v>
      </c>
      <c r="P379" s="4" t="s">
        <v>398</v>
      </c>
      <c r="Q379" s="4" t="str">
        <f t="shared" si="35"/>
        <v>1-2-2-21-40-00-164</v>
      </c>
      <c r="R379" s="4" t="str">
        <f t="shared" si="34"/>
        <v>CENTRO ATENC. INT. XIII SUC.</v>
      </c>
    </row>
    <row r="380" spans="1:18" ht="23.25" x14ac:dyDescent="0.2">
      <c r="A380" s="1">
        <v>1</v>
      </c>
      <c r="B380" s="6" t="str">
        <f>VLOOKUP(A380,'ACTIVOS CODIGO'!A:B,2,0)</f>
        <v>ACTIVO</v>
      </c>
      <c r="C380" s="2">
        <v>2</v>
      </c>
      <c r="D380" s="7" t="str">
        <f>VLOOKUP(C380,'ACTIVOS CODIGO'!C:D,2,0)</f>
        <v>ACTIVO DE LA HACIENDA = ACTIVO NO CORRIENTE</v>
      </c>
      <c r="E380" s="3">
        <v>2</v>
      </c>
      <c r="F380" s="8" t="str">
        <f>VLOOKUP(E380,'ACTIVOS CODIGO'!E:F,2,0)</f>
        <v>ACTIVO EXIGIBLE</v>
      </c>
      <c r="G380" s="10">
        <v>214</v>
      </c>
      <c r="H380" s="10" t="str">
        <f>VLOOKUP(G380,'PUB 21'!$A$1:$B$29,2,0)</f>
        <v>BIENES  MUEBLES</v>
      </c>
      <c r="K380" s="18"/>
      <c r="L380" s="5"/>
      <c r="M380" s="27" t="str">
        <f t="shared" si="36"/>
        <v>1-2-2-21-40-00</v>
      </c>
      <c r="N380" s="27" t="str">
        <f t="shared" si="37"/>
        <v>BIENES  MUEBLES</v>
      </c>
      <c r="O380" s="4">
        <f t="shared" si="33"/>
        <v>165</v>
      </c>
      <c r="P380" s="4" t="s">
        <v>399</v>
      </c>
      <c r="Q380" s="4" t="str">
        <f t="shared" si="35"/>
        <v>1-2-2-21-40-00-165</v>
      </c>
      <c r="R380" s="4" t="str">
        <f t="shared" si="34"/>
        <v>ATENCION INTEG. SAN MARTIN</v>
      </c>
    </row>
    <row r="381" spans="1:18" ht="23.25" x14ac:dyDescent="0.2">
      <c r="A381" s="1">
        <v>1</v>
      </c>
      <c r="B381" s="6" t="str">
        <f>VLOOKUP(A381,'ACTIVOS CODIGO'!A:B,2,0)</f>
        <v>ACTIVO</v>
      </c>
      <c r="C381" s="2">
        <v>2</v>
      </c>
      <c r="D381" s="7" t="str">
        <f>VLOOKUP(C381,'ACTIVOS CODIGO'!C:D,2,0)</f>
        <v>ACTIVO DE LA HACIENDA = ACTIVO NO CORRIENTE</v>
      </c>
      <c r="E381" s="3">
        <v>2</v>
      </c>
      <c r="F381" s="8" t="str">
        <f>VLOOKUP(E381,'ACTIVOS CODIGO'!E:F,2,0)</f>
        <v>ACTIVO EXIGIBLE</v>
      </c>
      <c r="G381" s="10">
        <v>214</v>
      </c>
      <c r="H381" s="10" t="str">
        <f>VLOOKUP(G381,'PUB 21'!$A$1:$B$29,2,0)</f>
        <v>BIENES  MUEBLES</v>
      </c>
      <c r="K381" s="18"/>
      <c r="L381" s="5"/>
      <c r="M381" s="27" t="str">
        <f t="shared" si="36"/>
        <v>1-2-2-21-40-00</v>
      </c>
      <c r="N381" s="27" t="str">
        <f t="shared" si="37"/>
        <v>BIENES  MUEBLES</v>
      </c>
      <c r="O381" s="4">
        <f t="shared" si="33"/>
        <v>166</v>
      </c>
      <c r="P381" s="4" t="s">
        <v>400</v>
      </c>
      <c r="Q381" s="4" t="str">
        <f t="shared" si="35"/>
        <v>1-2-2-21-40-00-166</v>
      </c>
      <c r="R381" s="4" t="str">
        <f t="shared" si="34"/>
        <v>CASA DE LA MUJER I</v>
      </c>
    </row>
    <row r="382" spans="1:18" ht="23.25" x14ac:dyDescent="0.2">
      <c r="A382" s="1">
        <v>1</v>
      </c>
      <c r="B382" s="6" t="str">
        <f>VLOOKUP(A382,'ACTIVOS CODIGO'!A:B,2,0)</f>
        <v>ACTIVO</v>
      </c>
      <c r="C382" s="2">
        <v>2</v>
      </c>
      <c r="D382" s="7" t="str">
        <f>VLOOKUP(C382,'ACTIVOS CODIGO'!C:D,2,0)</f>
        <v>ACTIVO DE LA HACIENDA = ACTIVO NO CORRIENTE</v>
      </c>
      <c r="E382" s="3">
        <v>2</v>
      </c>
      <c r="F382" s="8" t="str">
        <f>VLOOKUP(E382,'ACTIVOS CODIGO'!E:F,2,0)</f>
        <v>ACTIVO EXIGIBLE</v>
      </c>
      <c r="G382" s="10">
        <v>214</v>
      </c>
      <c r="H382" s="10" t="str">
        <f>VLOOKUP(G382,'PUB 21'!$A$1:$B$29,2,0)</f>
        <v>BIENES  MUEBLES</v>
      </c>
      <c r="K382" s="18"/>
      <c r="L382" s="5"/>
      <c r="M382" s="27" t="str">
        <f t="shared" si="36"/>
        <v>1-2-2-21-40-00</v>
      </c>
      <c r="N382" s="27" t="str">
        <f t="shared" si="37"/>
        <v>BIENES  MUEBLES</v>
      </c>
      <c r="O382" s="4">
        <f t="shared" si="33"/>
        <v>167</v>
      </c>
      <c r="P382" s="4" t="s">
        <v>401</v>
      </c>
      <c r="Q382" s="4" t="str">
        <f t="shared" si="35"/>
        <v>1-2-2-21-40-00-167</v>
      </c>
      <c r="R382" s="4" t="str">
        <f t="shared" si="34"/>
        <v>ATENCION INTEG. EL PARAISO</v>
      </c>
    </row>
    <row r="383" spans="1:18" ht="23.25" x14ac:dyDescent="0.2">
      <c r="A383" s="1">
        <v>1</v>
      </c>
      <c r="B383" s="6" t="str">
        <f>VLOOKUP(A383,'ACTIVOS CODIGO'!A:B,2,0)</f>
        <v>ACTIVO</v>
      </c>
      <c r="C383" s="2">
        <v>2</v>
      </c>
      <c r="D383" s="7" t="str">
        <f>VLOOKUP(C383,'ACTIVOS CODIGO'!C:D,2,0)</f>
        <v>ACTIVO DE LA HACIENDA = ACTIVO NO CORRIENTE</v>
      </c>
      <c r="E383" s="3">
        <v>2</v>
      </c>
      <c r="F383" s="8" t="str">
        <f>VLOOKUP(E383,'ACTIVOS CODIGO'!E:F,2,0)</f>
        <v>ACTIVO EXIGIBLE</v>
      </c>
      <c r="G383" s="10">
        <v>214</v>
      </c>
      <c r="H383" s="10" t="str">
        <f>VLOOKUP(G383,'PUB 21'!$A$1:$B$29,2,0)</f>
        <v>BIENES  MUEBLES</v>
      </c>
      <c r="K383" s="18"/>
      <c r="L383" s="5"/>
      <c r="M383" s="27" t="str">
        <f t="shared" si="36"/>
        <v>1-2-2-21-40-00</v>
      </c>
      <c r="N383" s="27" t="str">
        <f t="shared" si="37"/>
        <v>BIENES  MUEBLES</v>
      </c>
      <c r="O383" s="4">
        <f t="shared" si="33"/>
        <v>168</v>
      </c>
      <c r="P383" s="4" t="s">
        <v>402</v>
      </c>
      <c r="Q383" s="4" t="str">
        <f t="shared" si="35"/>
        <v>1-2-2-21-40-00-168</v>
      </c>
      <c r="R383" s="4" t="str">
        <f t="shared" si="34"/>
        <v>CENTRO ATENC. INT. EL JUNQ.</v>
      </c>
    </row>
    <row r="384" spans="1:18" ht="23.25" x14ac:dyDescent="0.2">
      <c r="A384" s="1">
        <v>1</v>
      </c>
      <c r="B384" s="6" t="str">
        <f>VLOOKUP(A384,'ACTIVOS CODIGO'!A:B,2,0)</f>
        <v>ACTIVO</v>
      </c>
      <c r="C384" s="2">
        <v>2</v>
      </c>
      <c r="D384" s="7" t="str">
        <f>VLOOKUP(C384,'ACTIVOS CODIGO'!C:D,2,0)</f>
        <v>ACTIVO DE LA HACIENDA = ACTIVO NO CORRIENTE</v>
      </c>
      <c r="E384" s="3">
        <v>2</v>
      </c>
      <c r="F384" s="8" t="str">
        <f>VLOOKUP(E384,'ACTIVOS CODIGO'!E:F,2,0)</f>
        <v>ACTIVO EXIGIBLE</v>
      </c>
      <c r="G384" s="10">
        <v>214</v>
      </c>
      <c r="H384" s="10" t="str">
        <f>VLOOKUP(G384,'PUB 21'!$A$1:$B$29,2,0)</f>
        <v>BIENES  MUEBLES</v>
      </c>
      <c r="K384" s="18"/>
      <c r="L384" s="5"/>
      <c r="M384" s="27" t="str">
        <f t="shared" si="36"/>
        <v>1-2-2-21-40-00</v>
      </c>
      <c r="N384" s="27" t="str">
        <f t="shared" si="37"/>
        <v>BIENES  MUEBLES</v>
      </c>
      <c r="O384" s="4">
        <f t="shared" si="33"/>
        <v>169</v>
      </c>
      <c r="P384" s="4" t="s">
        <v>403</v>
      </c>
      <c r="Q384" s="4" t="str">
        <f t="shared" si="35"/>
        <v>1-2-2-21-40-00-169</v>
      </c>
      <c r="R384" s="4" t="str">
        <f t="shared" si="34"/>
        <v>CENTRO ATENC. INT. EL VALLE</v>
      </c>
    </row>
    <row r="385" spans="1:18" ht="23.25" x14ac:dyDescent="0.2">
      <c r="A385" s="1">
        <v>1</v>
      </c>
      <c r="B385" s="6" t="str">
        <f>VLOOKUP(A385,'ACTIVOS CODIGO'!A:B,2,0)</f>
        <v>ACTIVO</v>
      </c>
      <c r="C385" s="2">
        <v>2</v>
      </c>
      <c r="D385" s="7" t="str">
        <f>VLOOKUP(C385,'ACTIVOS CODIGO'!C:D,2,0)</f>
        <v>ACTIVO DE LA HACIENDA = ACTIVO NO CORRIENTE</v>
      </c>
      <c r="E385" s="3">
        <v>2</v>
      </c>
      <c r="F385" s="8" t="str">
        <f>VLOOKUP(E385,'ACTIVOS CODIGO'!E:F,2,0)</f>
        <v>ACTIVO EXIGIBLE</v>
      </c>
      <c r="G385" s="10">
        <v>214</v>
      </c>
      <c r="H385" s="10" t="str">
        <f>VLOOKUP(G385,'PUB 21'!$A$1:$B$29,2,0)</f>
        <v>BIENES  MUEBLES</v>
      </c>
      <c r="K385" s="18"/>
      <c r="L385" s="5"/>
      <c r="M385" s="27" t="str">
        <f t="shared" si="36"/>
        <v>1-2-2-21-40-00</v>
      </c>
      <c r="N385" s="27" t="str">
        <f t="shared" si="37"/>
        <v>BIENES  MUEBLES</v>
      </c>
      <c r="O385" s="4">
        <f t="shared" si="33"/>
        <v>170</v>
      </c>
      <c r="P385" s="4" t="s">
        <v>404</v>
      </c>
      <c r="Q385" s="4" t="str">
        <f t="shared" si="35"/>
        <v>1-2-2-21-40-00-170</v>
      </c>
      <c r="R385" s="4" t="str">
        <f t="shared" si="34"/>
        <v>DIR. GOBIERNOS COMUNALES</v>
      </c>
    </row>
    <row r="386" spans="1:18" ht="23.25" x14ac:dyDescent="0.2">
      <c r="A386" s="1">
        <v>1</v>
      </c>
      <c r="B386" s="6" t="str">
        <f>VLOOKUP(A386,'ACTIVOS CODIGO'!A:B,2,0)</f>
        <v>ACTIVO</v>
      </c>
      <c r="C386" s="2">
        <v>2</v>
      </c>
      <c r="D386" s="7" t="str">
        <f>VLOOKUP(C386,'ACTIVOS CODIGO'!C:D,2,0)</f>
        <v>ACTIVO DE LA HACIENDA = ACTIVO NO CORRIENTE</v>
      </c>
      <c r="E386" s="3">
        <v>2</v>
      </c>
      <c r="F386" s="8" t="str">
        <f>VLOOKUP(E386,'ACTIVOS CODIGO'!E:F,2,0)</f>
        <v>ACTIVO EXIGIBLE</v>
      </c>
      <c r="G386" s="10">
        <v>214</v>
      </c>
      <c r="H386" s="10" t="str">
        <f>VLOOKUP(G386,'PUB 21'!$A$1:$B$29,2,0)</f>
        <v>BIENES  MUEBLES</v>
      </c>
      <c r="K386" s="18"/>
      <c r="L386" s="5"/>
      <c r="M386" s="27" t="str">
        <f t="shared" si="36"/>
        <v>1-2-2-21-40-00</v>
      </c>
      <c r="N386" s="27" t="str">
        <f t="shared" si="37"/>
        <v>BIENES  MUEBLES</v>
      </c>
      <c r="O386" s="4">
        <f t="shared" si="33"/>
        <v>171</v>
      </c>
      <c r="P386" s="4" t="s">
        <v>405</v>
      </c>
      <c r="Q386" s="4" t="str">
        <f t="shared" si="35"/>
        <v>1-2-2-21-40-00-171</v>
      </c>
      <c r="R386" s="4" t="str">
        <f t="shared" si="34"/>
        <v>UNID. FORM. Y COM. POP.</v>
      </c>
    </row>
    <row r="387" spans="1:18" ht="23.25" x14ac:dyDescent="0.2">
      <c r="A387" s="1">
        <v>1</v>
      </c>
      <c r="B387" s="6" t="str">
        <f>VLOOKUP(A387,'ACTIVOS CODIGO'!A:B,2,0)</f>
        <v>ACTIVO</v>
      </c>
      <c r="C387" s="2">
        <v>2</v>
      </c>
      <c r="D387" s="7" t="str">
        <f>VLOOKUP(C387,'ACTIVOS CODIGO'!C:D,2,0)</f>
        <v>ACTIVO DE LA HACIENDA = ACTIVO NO CORRIENTE</v>
      </c>
      <c r="E387" s="3">
        <v>2</v>
      </c>
      <c r="F387" s="8" t="str">
        <f>VLOOKUP(E387,'ACTIVOS CODIGO'!E:F,2,0)</f>
        <v>ACTIVO EXIGIBLE</v>
      </c>
      <c r="G387" s="10">
        <v>214</v>
      </c>
      <c r="H387" s="10" t="str">
        <f>VLOOKUP(G387,'PUB 21'!$A$1:$B$29,2,0)</f>
        <v>BIENES  MUEBLES</v>
      </c>
      <c r="K387" s="18"/>
      <c r="L387" s="5"/>
      <c r="M387" s="27" t="str">
        <f t="shared" si="36"/>
        <v>1-2-2-21-40-00</v>
      </c>
      <c r="N387" s="27" t="str">
        <f t="shared" si="37"/>
        <v>BIENES  MUEBLES</v>
      </c>
      <c r="O387" s="4">
        <f t="shared" si="33"/>
        <v>172</v>
      </c>
      <c r="P387" s="4" t="s">
        <v>406</v>
      </c>
      <c r="Q387" s="4" t="str">
        <f t="shared" si="35"/>
        <v>1-2-2-21-40-00-172</v>
      </c>
      <c r="R387" s="4" t="str">
        <f t="shared" si="34"/>
        <v>COORD. TRAB. Y PROM. SOCIAL</v>
      </c>
    </row>
    <row r="388" spans="1:18" ht="23.25" x14ac:dyDescent="0.2">
      <c r="A388" s="1">
        <v>1</v>
      </c>
      <c r="B388" s="6" t="str">
        <f>VLOOKUP(A388,'ACTIVOS CODIGO'!A:B,2,0)</f>
        <v>ACTIVO</v>
      </c>
      <c r="C388" s="2">
        <v>2</v>
      </c>
      <c r="D388" s="7" t="str">
        <f>VLOOKUP(C388,'ACTIVOS CODIGO'!C:D,2,0)</f>
        <v>ACTIVO DE LA HACIENDA = ACTIVO NO CORRIENTE</v>
      </c>
      <c r="E388" s="3">
        <v>2</v>
      </c>
      <c r="F388" s="8" t="str">
        <f>VLOOKUP(E388,'ACTIVOS CODIGO'!E:F,2,0)</f>
        <v>ACTIVO EXIGIBLE</v>
      </c>
      <c r="G388" s="10">
        <v>214</v>
      </c>
      <c r="H388" s="10" t="str">
        <f>VLOOKUP(G388,'PUB 21'!$A$1:$B$29,2,0)</f>
        <v>BIENES  MUEBLES</v>
      </c>
      <c r="K388" s="18"/>
      <c r="L388" s="5"/>
      <c r="M388" s="27" t="str">
        <f t="shared" si="36"/>
        <v>1-2-2-21-40-00</v>
      </c>
      <c r="N388" s="27" t="str">
        <f t="shared" si="37"/>
        <v>BIENES  MUEBLES</v>
      </c>
      <c r="O388" s="4">
        <f t="shared" si="33"/>
        <v>173</v>
      </c>
      <c r="P388" s="4" t="s">
        <v>407</v>
      </c>
      <c r="Q388" s="4" t="str">
        <f t="shared" si="35"/>
        <v>1-2-2-21-40-00-173</v>
      </c>
      <c r="R388" s="4" t="str">
        <f t="shared" ref="R388:R450" si="38">IF(P388="",IF(L388="",IF(J388="",IF(H388="",IF(F388="",IF(D388="",B388,D388),F388),H388),J388),L388),P388)</f>
        <v>COORD. DE PARTIC. COMUNIT.</v>
      </c>
    </row>
    <row r="389" spans="1:18" ht="23.25" x14ac:dyDescent="0.2">
      <c r="A389" s="1">
        <v>1</v>
      </c>
      <c r="B389" s="6" t="str">
        <f>VLOOKUP(A389,'ACTIVOS CODIGO'!A:B,2,0)</f>
        <v>ACTIVO</v>
      </c>
      <c r="C389" s="2">
        <v>2</v>
      </c>
      <c r="D389" s="7" t="str">
        <f>VLOOKUP(C389,'ACTIVOS CODIGO'!C:D,2,0)</f>
        <v>ACTIVO DE LA HACIENDA = ACTIVO NO CORRIENTE</v>
      </c>
      <c r="E389" s="3">
        <v>2</v>
      </c>
      <c r="F389" s="8" t="str">
        <f>VLOOKUP(E389,'ACTIVOS CODIGO'!E:F,2,0)</f>
        <v>ACTIVO EXIGIBLE</v>
      </c>
      <c r="G389" s="10">
        <v>214</v>
      </c>
      <c r="H389" s="10" t="str">
        <f>VLOOKUP(G389,'PUB 21'!$A$1:$B$29,2,0)</f>
        <v>BIENES  MUEBLES</v>
      </c>
      <c r="K389" s="18"/>
      <c r="L389" s="5"/>
      <c r="M389" s="27" t="str">
        <f t="shared" si="36"/>
        <v>1-2-2-21-40-00</v>
      </c>
      <c r="N389" s="27" t="str">
        <f t="shared" si="37"/>
        <v>BIENES  MUEBLES</v>
      </c>
      <c r="O389" s="4">
        <f t="shared" ref="O389:O440" si="39">IF(P389="",0,IF(M388=M389,IF(O388="",0,O388)+1,""))</f>
        <v>174</v>
      </c>
      <c r="P389" s="4" t="s">
        <v>408</v>
      </c>
      <c r="Q389" s="4" t="str">
        <f t="shared" ref="Q389:Q451" si="40">CONCATENATE(TEXT(A389,"0"),"-",TEXT(C389,"0"),"-",TEXT(E389,"0"),"-",TEXT(LEFT(G389,2),"00"),"-",TEXT(RIGHT(G389,1),"0"),TEXT(I389,"0"),"-",TEXT(K389,"00"),"-",TEXT(O389,"000"))</f>
        <v>1-2-2-21-40-00-174</v>
      </c>
      <c r="R389" s="4" t="str">
        <f t="shared" si="38"/>
        <v>DIR. MUNIC. ANTIDROGA</v>
      </c>
    </row>
    <row r="390" spans="1:18" ht="23.25" x14ac:dyDescent="0.2">
      <c r="A390" s="1">
        <v>1</v>
      </c>
      <c r="B390" s="6" t="str">
        <f>VLOOKUP(A390,'ACTIVOS CODIGO'!A:B,2,0)</f>
        <v>ACTIVO</v>
      </c>
      <c r="C390" s="2">
        <v>2</v>
      </c>
      <c r="D390" s="7" t="str">
        <f>VLOOKUP(C390,'ACTIVOS CODIGO'!C:D,2,0)</f>
        <v>ACTIVO DE LA HACIENDA = ACTIVO NO CORRIENTE</v>
      </c>
      <c r="E390" s="3">
        <v>2</v>
      </c>
      <c r="F390" s="8" t="str">
        <f>VLOOKUP(E390,'ACTIVOS CODIGO'!E:F,2,0)</f>
        <v>ACTIVO EXIGIBLE</v>
      </c>
      <c r="G390" s="10">
        <v>214</v>
      </c>
      <c r="H390" s="10" t="str">
        <f>VLOOKUP(G390,'PUB 21'!$A$1:$B$29,2,0)</f>
        <v>BIENES  MUEBLES</v>
      </c>
      <c r="K390" s="18"/>
      <c r="L390" s="5"/>
      <c r="M390" s="27" t="str">
        <f t="shared" si="36"/>
        <v>1-2-2-21-40-00</v>
      </c>
      <c r="N390" s="27" t="str">
        <f t="shared" si="37"/>
        <v>BIENES  MUEBLES</v>
      </c>
      <c r="O390" s="4">
        <f t="shared" si="39"/>
        <v>175</v>
      </c>
      <c r="P390" s="4" t="s">
        <v>409</v>
      </c>
      <c r="Q390" s="4" t="str">
        <f t="shared" si="40"/>
        <v>1-2-2-21-40-00-175</v>
      </c>
      <c r="R390" s="4" t="str">
        <f t="shared" si="38"/>
        <v>DIR. DESAROLLO ECONOMICO</v>
      </c>
    </row>
    <row r="391" spans="1:18" ht="23.25" x14ac:dyDescent="0.2">
      <c r="A391" s="1">
        <v>1</v>
      </c>
      <c r="B391" s="6" t="str">
        <f>VLOOKUP(A391,'ACTIVOS CODIGO'!A:B,2,0)</f>
        <v>ACTIVO</v>
      </c>
      <c r="C391" s="2">
        <v>2</v>
      </c>
      <c r="D391" s="7" t="str">
        <f>VLOOKUP(C391,'ACTIVOS CODIGO'!C:D,2,0)</f>
        <v>ACTIVO DE LA HACIENDA = ACTIVO NO CORRIENTE</v>
      </c>
      <c r="E391" s="3">
        <v>2</v>
      </c>
      <c r="F391" s="8" t="str">
        <f>VLOOKUP(E391,'ACTIVOS CODIGO'!E:F,2,0)</f>
        <v>ACTIVO EXIGIBLE</v>
      </c>
      <c r="G391" s="10">
        <v>216</v>
      </c>
      <c r="H391" s="10" t="str">
        <f>VLOOKUP(G391,'PUB 21'!$A$1:$B$29,2,0)</f>
        <v>PROVEEDURIAS Y ALMACENES</v>
      </c>
      <c r="K391" s="18"/>
      <c r="L391" s="5"/>
      <c r="M391" s="27" t="str">
        <f t="shared" si="36"/>
        <v>1-2-2-21-60-00</v>
      </c>
      <c r="N391" s="27" t="str">
        <f t="shared" si="37"/>
        <v>PROVEEDURIAS Y ALMACENES</v>
      </c>
      <c r="O391" s="4">
        <f t="shared" si="39"/>
        <v>0</v>
      </c>
      <c r="Q391" s="4" t="str">
        <f t="shared" si="40"/>
        <v>1-2-2-21-60-00-000</v>
      </c>
      <c r="R391" s="4" t="str">
        <f t="shared" si="38"/>
        <v>PROVEEDURIAS Y ALMACENES</v>
      </c>
    </row>
    <row r="392" spans="1:18" ht="23.25" x14ac:dyDescent="0.2">
      <c r="A392" s="1">
        <v>1</v>
      </c>
      <c r="B392" s="6" t="str">
        <f>VLOOKUP(A392,'ACTIVOS CODIGO'!A:B,2,0)</f>
        <v>ACTIVO</v>
      </c>
      <c r="C392" s="2">
        <v>2</v>
      </c>
      <c r="D392" s="7" t="str">
        <f>VLOOKUP(C392,'ACTIVOS CODIGO'!C:D,2,0)</f>
        <v>ACTIVO DE LA HACIENDA = ACTIVO NO CORRIENTE</v>
      </c>
      <c r="E392" s="3">
        <v>2</v>
      </c>
      <c r="F392" s="8" t="str">
        <f>VLOOKUP(E392,'ACTIVOS CODIGO'!E:F,2,0)</f>
        <v>ACTIVO EXIGIBLE</v>
      </c>
      <c r="G392" s="10">
        <v>216</v>
      </c>
      <c r="H392" s="10" t="str">
        <f>VLOOKUP(G392,'PUB 21'!$A$1:$B$29,2,0)</f>
        <v>PROVEEDURIAS Y ALMACENES</v>
      </c>
      <c r="K392" s="18"/>
      <c r="M392" s="27" t="str">
        <f t="shared" si="36"/>
        <v>1-2-2-21-60-00</v>
      </c>
      <c r="N392" s="27" t="str">
        <f t="shared" si="37"/>
        <v>PROVEEDURIAS Y ALMACENES</v>
      </c>
      <c r="O392" s="4">
        <f t="shared" si="39"/>
        <v>1</v>
      </c>
      <c r="P392" s="4" t="s">
        <v>410</v>
      </c>
      <c r="Q392" s="4" t="str">
        <f t="shared" si="40"/>
        <v>1-2-2-21-60-00-001</v>
      </c>
      <c r="R392" s="4" t="str">
        <f t="shared" si="38"/>
        <v>ADMIN. Y FINANZAS (MAT. OFIC.)</v>
      </c>
    </row>
    <row r="393" spans="1:18" ht="23.25" x14ac:dyDescent="0.2">
      <c r="A393" s="1">
        <v>1</v>
      </c>
      <c r="B393" s="6" t="str">
        <f>VLOOKUP(A393,'ACTIVOS CODIGO'!A:B,2,0)</f>
        <v>ACTIVO</v>
      </c>
      <c r="C393" s="2">
        <v>2</v>
      </c>
      <c r="D393" s="7" t="str">
        <f>VLOOKUP(C393,'ACTIVOS CODIGO'!C:D,2,0)</f>
        <v>ACTIVO DE LA HACIENDA = ACTIVO NO CORRIENTE</v>
      </c>
      <c r="E393" s="3">
        <v>2</v>
      </c>
      <c r="F393" s="8" t="str">
        <f>VLOOKUP(E393,'ACTIVOS CODIGO'!E:F,2,0)</f>
        <v>ACTIVO EXIGIBLE</v>
      </c>
      <c r="G393" s="10">
        <v>216</v>
      </c>
      <c r="H393" s="10" t="str">
        <f>VLOOKUP(G393,'PUB 21'!$A$1:$B$29,2,0)</f>
        <v>PROVEEDURIAS Y ALMACENES</v>
      </c>
      <c r="K393" s="18"/>
      <c r="M393" s="27" t="str">
        <f t="shared" si="36"/>
        <v>1-2-2-21-60-00</v>
      </c>
      <c r="N393" s="27" t="str">
        <f t="shared" si="37"/>
        <v>PROVEEDURIAS Y ALMACENES</v>
      </c>
      <c r="O393" s="4">
        <f t="shared" si="39"/>
        <v>2</v>
      </c>
      <c r="P393" s="4" t="s">
        <v>411</v>
      </c>
      <c r="Q393" s="4" t="str">
        <f t="shared" si="40"/>
        <v>1-2-2-21-60-00-002</v>
      </c>
      <c r="R393" s="4" t="str">
        <f t="shared" si="38"/>
        <v>ADMIN. Y FINANZAS (MAT. ASEO)</v>
      </c>
    </row>
    <row r="394" spans="1:18" ht="23.25" x14ac:dyDescent="0.2">
      <c r="A394" s="1">
        <v>1</v>
      </c>
      <c r="B394" s="6" t="str">
        <f>VLOOKUP(A394,'ACTIVOS CODIGO'!A:B,2,0)</f>
        <v>ACTIVO</v>
      </c>
      <c r="C394" s="2">
        <v>2</v>
      </c>
      <c r="D394" s="7" t="str">
        <f>VLOOKUP(C394,'ACTIVOS CODIGO'!C:D,2,0)</f>
        <v>ACTIVO DE LA HACIENDA = ACTIVO NO CORRIENTE</v>
      </c>
      <c r="E394" s="3">
        <v>2</v>
      </c>
      <c r="F394" s="8" t="str">
        <f>VLOOKUP(E394,'ACTIVOS CODIGO'!E:F,2,0)</f>
        <v>ACTIVO EXIGIBLE</v>
      </c>
      <c r="G394" s="10">
        <v>216</v>
      </c>
      <c r="H394" s="10" t="str">
        <f>VLOOKUP(G394,'PUB 21'!$A$1:$B$29,2,0)</f>
        <v>PROVEEDURIAS Y ALMACENES</v>
      </c>
      <c r="K394" s="18"/>
      <c r="M394" s="27" t="str">
        <f t="shared" si="36"/>
        <v>1-2-2-21-60-00</v>
      </c>
      <c r="N394" s="27" t="str">
        <f t="shared" si="37"/>
        <v>PROVEEDURIAS Y ALMACENES</v>
      </c>
      <c r="O394" s="4">
        <f t="shared" si="39"/>
        <v>3</v>
      </c>
      <c r="P394" s="4" t="s">
        <v>412</v>
      </c>
      <c r="Q394" s="4" t="str">
        <f t="shared" si="40"/>
        <v>1-2-2-21-60-00-003</v>
      </c>
      <c r="R394" s="4" t="str">
        <f t="shared" si="38"/>
        <v>ADMIN. Y FINANZAS (ALIM Y BEBI)</v>
      </c>
    </row>
    <row r="395" spans="1:18" ht="23.25" x14ac:dyDescent="0.2">
      <c r="A395" s="1">
        <v>1</v>
      </c>
      <c r="B395" s="6" t="str">
        <f>VLOOKUP(A395,'ACTIVOS CODIGO'!A:B,2,0)</f>
        <v>ACTIVO</v>
      </c>
      <c r="C395" s="2">
        <v>2</v>
      </c>
      <c r="D395" s="7" t="str">
        <f>VLOOKUP(C395,'ACTIVOS CODIGO'!C:D,2,0)</f>
        <v>ACTIVO DE LA HACIENDA = ACTIVO NO CORRIENTE</v>
      </c>
      <c r="E395" s="3">
        <v>2</v>
      </c>
      <c r="F395" s="8" t="str">
        <f>VLOOKUP(E395,'ACTIVOS CODIGO'!E:F,2,0)</f>
        <v>ACTIVO EXIGIBLE</v>
      </c>
      <c r="G395" s="10">
        <v>216</v>
      </c>
      <c r="H395" s="10" t="str">
        <f>VLOOKUP(G395,'PUB 21'!$A$1:$B$29,2,0)</f>
        <v>PROVEEDURIAS Y ALMACENES</v>
      </c>
      <c r="K395" s="18"/>
      <c r="M395" s="27" t="str">
        <f t="shared" si="36"/>
        <v>1-2-2-21-60-00</v>
      </c>
      <c r="N395" s="27" t="str">
        <f t="shared" si="37"/>
        <v>PROVEEDURIAS Y ALMACENES</v>
      </c>
      <c r="O395" s="4">
        <f t="shared" si="39"/>
        <v>4</v>
      </c>
      <c r="P395" s="4" t="s">
        <v>413</v>
      </c>
      <c r="Q395" s="4" t="str">
        <f t="shared" si="40"/>
        <v>1-2-2-21-60-00-004</v>
      </c>
      <c r="R395" s="4" t="str">
        <f t="shared" si="38"/>
        <v>INFRAESTRUCTURA (MAT. DE OFIC)</v>
      </c>
    </row>
    <row r="396" spans="1:18" ht="23.25" x14ac:dyDescent="0.2">
      <c r="A396" s="1">
        <v>1</v>
      </c>
      <c r="B396" s="6" t="str">
        <f>VLOOKUP(A396,'ACTIVOS CODIGO'!A:B,2,0)</f>
        <v>ACTIVO</v>
      </c>
      <c r="C396" s="2">
        <v>2</v>
      </c>
      <c r="D396" s="7" t="str">
        <f>VLOOKUP(C396,'ACTIVOS CODIGO'!C:D,2,0)</f>
        <v>ACTIVO DE LA HACIENDA = ACTIVO NO CORRIENTE</v>
      </c>
      <c r="E396" s="3">
        <v>2</v>
      </c>
      <c r="F396" s="8" t="str">
        <f>VLOOKUP(E396,'ACTIVOS CODIGO'!E:F,2,0)</f>
        <v>ACTIVO EXIGIBLE</v>
      </c>
      <c r="G396" s="10">
        <v>216</v>
      </c>
      <c r="H396" s="10" t="str">
        <f>VLOOKUP(G396,'PUB 21'!$A$1:$B$29,2,0)</f>
        <v>PROVEEDURIAS Y ALMACENES</v>
      </c>
      <c r="K396" s="18"/>
      <c r="M396" s="27" t="str">
        <f t="shared" si="36"/>
        <v>1-2-2-21-60-00</v>
      </c>
      <c r="N396" s="27" t="str">
        <f t="shared" si="37"/>
        <v>PROVEEDURIAS Y ALMACENES</v>
      </c>
      <c r="O396" s="4">
        <f t="shared" si="39"/>
        <v>5</v>
      </c>
      <c r="P396" s="4" t="s">
        <v>414</v>
      </c>
      <c r="Q396" s="4" t="str">
        <f t="shared" si="40"/>
        <v>1-2-2-21-60-00-005</v>
      </c>
      <c r="R396" s="4" t="str">
        <f t="shared" si="38"/>
        <v>INFRAESTRUCTURA (MAT. DE ASEO)</v>
      </c>
    </row>
    <row r="397" spans="1:18" ht="23.25" x14ac:dyDescent="0.2">
      <c r="A397" s="1">
        <v>1</v>
      </c>
      <c r="B397" s="6" t="str">
        <f>VLOOKUP(A397,'ACTIVOS CODIGO'!A:B,2,0)</f>
        <v>ACTIVO</v>
      </c>
      <c r="C397" s="2">
        <v>2</v>
      </c>
      <c r="D397" s="7" t="str">
        <f>VLOOKUP(C397,'ACTIVOS CODIGO'!C:D,2,0)</f>
        <v>ACTIVO DE LA HACIENDA = ACTIVO NO CORRIENTE</v>
      </c>
      <c r="E397" s="3">
        <v>2</v>
      </c>
      <c r="F397" s="8" t="str">
        <f>VLOOKUP(E397,'ACTIVOS CODIGO'!E:F,2,0)</f>
        <v>ACTIVO EXIGIBLE</v>
      </c>
      <c r="G397" s="10">
        <v>216</v>
      </c>
      <c r="H397" s="10" t="str">
        <f>VLOOKUP(G397,'PUB 21'!$A$1:$B$29,2,0)</f>
        <v>PROVEEDURIAS Y ALMACENES</v>
      </c>
      <c r="K397" s="18"/>
      <c r="M397" s="27" t="str">
        <f t="shared" si="36"/>
        <v>1-2-2-21-60-00</v>
      </c>
      <c r="N397" s="27" t="str">
        <f t="shared" si="37"/>
        <v>PROVEEDURIAS Y ALMACENES</v>
      </c>
      <c r="O397" s="4">
        <f t="shared" si="39"/>
        <v>6</v>
      </c>
      <c r="P397" s="4" t="s">
        <v>415</v>
      </c>
      <c r="Q397" s="4" t="str">
        <f t="shared" si="40"/>
        <v>1-2-2-21-60-00-006</v>
      </c>
      <c r="R397" s="4" t="str">
        <f t="shared" si="38"/>
        <v>INFRAESTRUCTURA (MAT. DE CONST)</v>
      </c>
    </row>
    <row r="398" spans="1:18" ht="23.25" x14ac:dyDescent="0.2">
      <c r="A398" s="1">
        <v>1</v>
      </c>
      <c r="B398" s="6" t="str">
        <f>VLOOKUP(A398,'ACTIVOS CODIGO'!A:B,2,0)</f>
        <v>ACTIVO</v>
      </c>
      <c r="C398" s="2">
        <v>2</v>
      </c>
      <c r="D398" s="7" t="str">
        <f>VLOOKUP(C398,'ACTIVOS CODIGO'!C:D,2,0)</f>
        <v>ACTIVO DE LA HACIENDA = ACTIVO NO CORRIENTE</v>
      </c>
      <c r="E398" s="3">
        <v>2</v>
      </c>
      <c r="F398" s="8" t="str">
        <f>VLOOKUP(E398,'ACTIVOS CODIGO'!E:F,2,0)</f>
        <v>ACTIVO EXIGIBLE</v>
      </c>
      <c r="G398" s="10">
        <v>216</v>
      </c>
      <c r="H398" s="10" t="str">
        <f>VLOOKUP(G398,'PUB 21'!$A$1:$B$29,2,0)</f>
        <v>PROVEEDURIAS Y ALMACENES</v>
      </c>
      <c r="K398" s="18"/>
      <c r="M398" s="27" t="str">
        <f t="shared" si="36"/>
        <v>1-2-2-21-60-00</v>
      </c>
      <c r="N398" s="27" t="str">
        <f t="shared" si="37"/>
        <v>PROVEEDURIAS Y ALMACENES</v>
      </c>
      <c r="O398" s="4">
        <f t="shared" si="39"/>
        <v>7</v>
      </c>
      <c r="P398" s="4" t="s">
        <v>416</v>
      </c>
      <c r="Q398" s="4" t="str">
        <f t="shared" si="40"/>
        <v>1-2-2-21-60-00-007</v>
      </c>
      <c r="R398" s="4" t="str">
        <f t="shared" si="38"/>
        <v>INFRAESTRUCTURA (ALIMENT. Y</v>
      </c>
    </row>
    <row r="399" spans="1:18" ht="23.25" x14ac:dyDescent="0.2">
      <c r="A399" s="1">
        <v>1</v>
      </c>
      <c r="B399" s="6" t="str">
        <f>VLOOKUP(A399,'ACTIVOS CODIGO'!A:B,2,0)</f>
        <v>ACTIVO</v>
      </c>
      <c r="C399" s="2">
        <v>2</v>
      </c>
      <c r="D399" s="7" t="str">
        <f>VLOOKUP(C399,'ACTIVOS CODIGO'!C:D,2,0)</f>
        <v>ACTIVO DE LA HACIENDA = ACTIVO NO CORRIENTE</v>
      </c>
      <c r="E399" s="3">
        <v>2</v>
      </c>
      <c r="F399" s="8" t="str">
        <f>VLOOKUP(E399,'ACTIVOS CODIGO'!E:F,2,0)</f>
        <v>ACTIVO EXIGIBLE</v>
      </c>
      <c r="G399" s="10">
        <v>216</v>
      </c>
      <c r="H399" s="10" t="str">
        <f>VLOOKUP(G399,'PUB 21'!$A$1:$B$29,2,0)</f>
        <v>PROVEEDURIAS Y ALMACENES</v>
      </c>
      <c r="K399" s="18"/>
      <c r="M399" s="27" t="str">
        <f t="shared" si="36"/>
        <v>1-2-2-21-60-00</v>
      </c>
      <c r="N399" s="27" t="str">
        <f t="shared" si="37"/>
        <v>PROVEEDURIAS Y ALMACENES</v>
      </c>
      <c r="O399" s="4">
        <f t="shared" si="39"/>
        <v>8</v>
      </c>
      <c r="P399" s="4" t="s">
        <v>417</v>
      </c>
      <c r="Q399" s="4" t="str">
        <f t="shared" si="40"/>
        <v>1-2-2-21-60-00-008</v>
      </c>
      <c r="R399" s="4" t="str">
        <f t="shared" si="38"/>
        <v>INFRAESTRUCTURA (MAT. ELECTRIC)</v>
      </c>
    </row>
    <row r="400" spans="1:18" ht="23.25" x14ac:dyDescent="0.2">
      <c r="A400" s="1">
        <v>1</v>
      </c>
      <c r="B400" s="6" t="str">
        <f>VLOOKUP(A400,'ACTIVOS CODIGO'!A:B,2,0)</f>
        <v>ACTIVO</v>
      </c>
      <c r="C400" s="2">
        <v>2</v>
      </c>
      <c r="D400" s="7" t="str">
        <f>VLOOKUP(C400,'ACTIVOS CODIGO'!C:D,2,0)</f>
        <v>ACTIVO DE LA HACIENDA = ACTIVO NO CORRIENTE</v>
      </c>
      <c r="E400" s="3">
        <v>2</v>
      </c>
      <c r="F400" s="8" t="str">
        <f>VLOOKUP(E400,'ACTIVOS CODIGO'!E:F,2,0)</f>
        <v>ACTIVO EXIGIBLE</v>
      </c>
      <c r="G400" s="10">
        <v>216</v>
      </c>
      <c r="H400" s="10" t="str">
        <f>VLOOKUP(G400,'PUB 21'!$A$1:$B$29,2,0)</f>
        <v>PROVEEDURIAS Y ALMACENES</v>
      </c>
      <c r="K400" s="18"/>
      <c r="M400" s="27" t="str">
        <f t="shared" si="36"/>
        <v>1-2-2-21-60-00</v>
      </c>
      <c r="N400" s="27" t="str">
        <f t="shared" si="37"/>
        <v>PROVEEDURIAS Y ALMACENES</v>
      </c>
      <c r="O400" s="4">
        <f t="shared" si="39"/>
        <v>9</v>
      </c>
      <c r="P400" s="4" t="s">
        <v>418</v>
      </c>
      <c r="Q400" s="4" t="str">
        <f t="shared" si="40"/>
        <v>1-2-2-21-60-00-009</v>
      </c>
      <c r="R400" s="4" t="str">
        <f t="shared" si="38"/>
        <v>INFRAESTRUCTURA (MAT. SEGUR)</v>
      </c>
    </row>
    <row r="401" spans="1:18" ht="23.25" x14ac:dyDescent="0.2">
      <c r="A401" s="1">
        <v>1</v>
      </c>
      <c r="B401" s="6" t="str">
        <f>VLOOKUP(A401,'ACTIVOS CODIGO'!A:B,2,0)</f>
        <v>ACTIVO</v>
      </c>
      <c r="C401" s="2">
        <v>2</v>
      </c>
      <c r="D401" s="7" t="str">
        <f>VLOOKUP(C401,'ACTIVOS CODIGO'!C:D,2,0)</f>
        <v>ACTIVO DE LA HACIENDA = ACTIVO NO CORRIENTE</v>
      </c>
      <c r="E401" s="3">
        <v>2</v>
      </c>
      <c r="F401" s="8" t="str">
        <f>VLOOKUP(E401,'ACTIVOS CODIGO'!E:F,2,0)</f>
        <v>ACTIVO EXIGIBLE</v>
      </c>
      <c r="G401" s="10">
        <v>216</v>
      </c>
      <c r="H401" s="10" t="str">
        <f>VLOOKUP(G401,'PUB 21'!$A$1:$B$29,2,0)</f>
        <v>PROVEEDURIAS Y ALMACENES</v>
      </c>
      <c r="K401" s="18"/>
      <c r="M401" s="27" t="str">
        <f t="shared" si="36"/>
        <v>1-2-2-21-60-00</v>
      </c>
      <c r="N401" s="27" t="str">
        <f t="shared" si="37"/>
        <v>PROVEEDURIAS Y ALMACENES</v>
      </c>
      <c r="O401" s="4">
        <f t="shared" si="39"/>
        <v>10</v>
      </c>
      <c r="P401" s="4" t="s">
        <v>419</v>
      </c>
      <c r="Q401" s="4" t="str">
        <f t="shared" si="40"/>
        <v>1-2-2-21-60-00-010</v>
      </c>
      <c r="R401" s="4" t="str">
        <f t="shared" si="38"/>
        <v>PLANIF. Y PPTO. (MAT. OFIC)</v>
      </c>
    </row>
    <row r="402" spans="1:18" ht="23.25" x14ac:dyDescent="0.2">
      <c r="A402" s="1">
        <v>1</v>
      </c>
      <c r="B402" s="6" t="str">
        <f>VLOOKUP(A402,'ACTIVOS CODIGO'!A:B,2,0)</f>
        <v>ACTIVO</v>
      </c>
      <c r="C402" s="2">
        <v>2</v>
      </c>
      <c r="D402" s="7" t="str">
        <f>VLOOKUP(C402,'ACTIVOS CODIGO'!C:D,2,0)</f>
        <v>ACTIVO DE LA HACIENDA = ACTIVO NO CORRIENTE</v>
      </c>
      <c r="E402" s="3">
        <v>2</v>
      </c>
      <c r="F402" s="8" t="str">
        <f>VLOOKUP(E402,'ACTIVOS CODIGO'!E:F,2,0)</f>
        <v>ACTIVO EXIGIBLE</v>
      </c>
      <c r="G402" s="10">
        <v>216</v>
      </c>
      <c r="H402" s="10" t="str">
        <f>VLOOKUP(G402,'PUB 21'!$A$1:$B$29,2,0)</f>
        <v>PROVEEDURIAS Y ALMACENES</v>
      </c>
      <c r="K402" s="18"/>
      <c r="M402" s="27" t="str">
        <f t="shared" si="36"/>
        <v>1-2-2-21-60-00</v>
      </c>
      <c r="N402" s="27" t="str">
        <f t="shared" si="37"/>
        <v>PROVEEDURIAS Y ALMACENES</v>
      </c>
      <c r="O402" s="4">
        <f t="shared" si="39"/>
        <v>11</v>
      </c>
      <c r="P402" s="4" t="s">
        <v>420</v>
      </c>
      <c r="Q402" s="4" t="str">
        <f t="shared" si="40"/>
        <v>1-2-2-21-60-00-011</v>
      </c>
      <c r="R402" s="4" t="str">
        <f t="shared" si="38"/>
        <v>PLANIF. Y PPTO. (MAT. DE ASEO)</v>
      </c>
    </row>
    <row r="403" spans="1:18" ht="23.25" x14ac:dyDescent="0.2">
      <c r="A403" s="1">
        <v>1</v>
      </c>
      <c r="B403" s="6" t="str">
        <f>VLOOKUP(A403,'ACTIVOS CODIGO'!A:B,2,0)</f>
        <v>ACTIVO</v>
      </c>
      <c r="C403" s="2">
        <v>2</v>
      </c>
      <c r="D403" s="7" t="str">
        <f>VLOOKUP(C403,'ACTIVOS CODIGO'!C:D,2,0)</f>
        <v>ACTIVO DE LA HACIENDA = ACTIVO NO CORRIENTE</v>
      </c>
      <c r="E403" s="3">
        <v>2</v>
      </c>
      <c r="F403" s="8" t="str">
        <f>VLOOKUP(E403,'ACTIVOS CODIGO'!E:F,2,0)</f>
        <v>ACTIVO EXIGIBLE</v>
      </c>
      <c r="G403" s="10">
        <v>216</v>
      </c>
      <c r="H403" s="10" t="str">
        <f>VLOOKUP(G403,'PUB 21'!$A$1:$B$29,2,0)</f>
        <v>PROVEEDURIAS Y ALMACENES</v>
      </c>
      <c r="K403" s="18"/>
      <c r="M403" s="27" t="str">
        <f t="shared" si="36"/>
        <v>1-2-2-21-60-00</v>
      </c>
      <c r="N403" s="27" t="str">
        <f t="shared" si="37"/>
        <v>PROVEEDURIAS Y ALMACENES</v>
      </c>
      <c r="O403" s="4">
        <f t="shared" si="39"/>
        <v>12</v>
      </c>
      <c r="P403" s="4" t="s">
        <v>421</v>
      </c>
      <c r="Q403" s="4" t="str">
        <f t="shared" si="40"/>
        <v>1-2-2-21-60-00-012</v>
      </c>
      <c r="R403" s="4" t="str">
        <f t="shared" si="38"/>
        <v>PLANIF. Y PPTO. (MAT. DE CONST)</v>
      </c>
    </row>
    <row r="404" spans="1:18" ht="23.25" x14ac:dyDescent="0.2">
      <c r="A404" s="1">
        <v>1</v>
      </c>
      <c r="B404" s="6" t="str">
        <f>VLOOKUP(A404,'ACTIVOS CODIGO'!A:B,2,0)</f>
        <v>ACTIVO</v>
      </c>
      <c r="C404" s="2">
        <v>2</v>
      </c>
      <c r="D404" s="7" t="str">
        <f>VLOOKUP(C404,'ACTIVOS CODIGO'!C:D,2,0)</f>
        <v>ACTIVO DE LA HACIENDA = ACTIVO NO CORRIENTE</v>
      </c>
      <c r="E404" s="3">
        <v>2</v>
      </c>
      <c r="F404" s="8" t="str">
        <f>VLOOKUP(E404,'ACTIVOS CODIGO'!E:F,2,0)</f>
        <v>ACTIVO EXIGIBLE</v>
      </c>
      <c r="G404" s="10">
        <v>216</v>
      </c>
      <c r="H404" s="10" t="str">
        <f>VLOOKUP(G404,'PUB 21'!$A$1:$B$29,2,0)</f>
        <v>PROVEEDURIAS Y ALMACENES</v>
      </c>
      <c r="K404" s="18"/>
      <c r="M404" s="27" t="str">
        <f t="shared" si="36"/>
        <v>1-2-2-21-60-00</v>
      </c>
      <c r="N404" s="27" t="str">
        <f t="shared" si="37"/>
        <v>PROVEEDURIAS Y ALMACENES</v>
      </c>
      <c r="O404" s="4">
        <f t="shared" si="39"/>
        <v>13</v>
      </c>
      <c r="P404" s="4" t="s">
        <v>422</v>
      </c>
      <c r="Q404" s="4" t="str">
        <f t="shared" si="40"/>
        <v>1-2-2-21-60-00-013</v>
      </c>
      <c r="R404" s="4" t="str">
        <f t="shared" si="38"/>
        <v>PLANIF. Y PPTO. (ALIMENT. Y BEBI)</v>
      </c>
    </row>
    <row r="405" spans="1:18" ht="23.25" x14ac:dyDescent="0.2">
      <c r="A405" s="1">
        <v>1</v>
      </c>
      <c r="B405" s="6" t="str">
        <f>VLOOKUP(A405,'ACTIVOS CODIGO'!A:B,2,0)</f>
        <v>ACTIVO</v>
      </c>
      <c r="C405" s="2">
        <v>2</v>
      </c>
      <c r="D405" s="7" t="str">
        <f>VLOOKUP(C405,'ACTIVOS CODIGO'!C:D,2,0)</f>
        <v>ACTIVO DE LA HACIENDA = ACTIVO NO CORRIENTE</v>
      </c>
      <c r="E405" s="3">
        <v>2</v>
      </c>
      <c r="F405" s="8" t="str">
        <f>VLOOKUP(E405,'ACTIVOS CODIGO'!E:F,2,0)</f>
        <v>ACTIVO EXIGIBLE</v>
      </c>
      <c r="G405" s="10">
        <v>216</v>
      </c>
      <c r="H405" s="10" t="str">
        <f>VLOOKUP(G405,'PUB 21'!$A$1:$B$29,2,0)</f>
        <v>PROVEEDURIAS Y ALMACENES</v>
      </c>
      <c r="K405" s="18"/>
      <c r="M405" s="27" t="str">
        <f t="shared" si="36"/>
        <v>1-2-2-21-60-00</v>
      </c>
      <c r="N405" s="27" t="str">
        <f t="shared" si="37"/>
        <v>PROVEEDURIAS Y ALMACENES</v>
      </c>
      <c r="O405" s="4">
        <f t="shared" si="39"/>
        <v>14</v>
      </c>
      <c r="P405" s="4" t="s">
        <v>423</v>
      </c>
      <c r="Q405" s="4" t="str">
        <f t="shared" si="40"/>
        <v>1-2-2-21-60-00-014</v>
      </c>
      <c r="R405" s="4" t="str">
        <f t="shared" si="38"/>
        <v>APOYO POD. COM (MAT. DE OFIC)</v>
      </c>
    </row>
    <row r="406" spans="1:18" ht="23.25" x14ac:dyDescent="0.2">
      <c r="A406" s="1">
        <v>1</v>
      </c>
      <c r="B406" s="6" t="str">
        <f>VLOOKUP(A406,'ACTIVOS CODIGO'!A:B,2,0)</f>
        <v>ACTIVO</v>
      </c>
      <c r="C406" s="2">
        <v>2</v>
      </c>
      <c r="D406" s="7" t="str">
        <f>VLOOKUP(C406,'ACTIVOS CODIGO'!C:D,2,0)</f>
        <v>ACTIVO DE LA HACIENDA = ACTIVO NO CORRIENTE</v>
      </c>
      <c r="E406" s="3">
        <v>2</v>
      </c>
      <c r="F406" s="8" t="str">
        <f>VLOOKUP(E406,'ACTIVOS CODIGO'!E:F,2,0)</f>
        <v>ACTIVO EXIGIBLE</v>
      </c>
      <c r="G406" s="10">
        <v>216</v>
      </c>
      <c r="H406" s="10" t="str">
        <f>VLOOKUP(G406,'PUB 21'!$A$1:$B$29,2,0)</f>
        <v>PROVEEDURIAS Y ALMACENES</v>
      </c>
      <c r="K406" s="18"/>
      <c r="M406" s="27" t="str">
        <f t="shared" si="36"/>
        <v>1-2-2-21-60-00</v>
      </c>
      <c r="N406" s="27" t="str">
        <f t="shared" si="37"/>
        <v>PROVEEDURIAS Y ALMACENES</v>
      </c>
      <c r="O406" s="4">
        <f t="shared" si="39"/>
        <v>15</v>
      </c>
      <c r="P406" s="4" t="s">
        <v>424</v>
      </c>
      <c r="Q406" s="4" t="str">
        <f t="shared" si="40"/>
        <v>1-2-2-21-60-00-015</v>
      </c>
      <c r="R406" s="4" t="str">
        <f t="shared" si="38"/>
        <v>APOYO POD. COM (MAT. DE ASEO)</v>
      </c>
    </row>
    <row r="407" spans="1:18" ht="23.25" x14ac:dyDescent="0.2">
      <c r="A407" s="1">
        <v>1</v>
      </c>
      <c r="B407" s="6" t="str">
        <f>VLOOKUP(A407,'ACTIVOS CODIGO'!A:B,2,0)</f>
        <v>ACTIVO</v>
      </c>
      <c r="C407" s="2">
        <v>2</v>
      </c>
      <c r="D407" s="7" t="str">
        <f>VLOOKUP(C407,'ACTIVOS CODIGO'!C:D,2,0)</f>
        <v>ACTIVO DE LA HACIENDA = ACTIVO NO CORRIENTE</v>
      </c>
      <c r="E407" s="3">
        <v>2</v>
      </c>
      <c r="F407" s="8" t="str">
        <f>VLOOKUP(E407,'ACTIVOS CODIGO'!E:F,2,0)</f>
        <v>ACTIVO EXIGIBLE</v>
      </c>
      <c r="G407" s="10">
        <v>216</v>
      </c>
      <c r="H407" s="10" t="str">
        <f>VLOOKUP(G407,'PUB 21'!$A$1:$B$29,2,0)</f>
        <v>PROVEEDURIAS Y ALMACENES</v>
      </c>
      <c r="K407" s="18"/>
      <c r="M407" s="27" t="str">
        <f t="shared" si="36"/>
        <v>1-2-2-21-60-00</v>
      </c>
      <c r="N407" s="27" t="str">
        <f t="shared" si="37"/>
        <v>PROVEEDURIAS Y ALMACENES</v>
      </c>
      <c r="O407" s="4">
        <f t="shared" si="39"/>
        <v>16</v>
      </c>
      <c r="P407" s="4" t="s">
        <v>425</v>
      </c>
      <c r="Q407" s="4" t="str">
        <f t="shared" si="40"/>
        <v>1-2-2-21-60-00-016</v>
      </c>
      <c r="R407" s="4" t="str">
        <f t="shared" si="38"/>
        <v>APOYO POD. COM (FRANELAS)</v>
      </c>
    </row>
    <row r="408" spans="1:18" ht="23.25" x14ac:dyDescent="0.2">
      <c r="A408" s="1">
        <v>1</v>
      </c>
      <c r="B408" s="6" t="str">
        <f>VLOOKUP(A408,'ACTIVOS CODIGO'!A:B,2,0)</f>
        <v>ACTIVO</v>
      </c>
      <c r="C408" s="2">
        <v>2</v>
      </c>
      <c r="D408" s="7" t="str">
        <f>VLOOKUP(C408,'ACTIVOS CODIGO'!C:D,2,0)</f>
        <v>ACTIVO DE LA HACIENDA = ACTIVO NO CORRIENTE</v>
      </c>
      <c r="E408" s="3">
        <v>2</v>
      </c>
      <c r="F408" s="8" t="str">
        <f>VLOOKUP(E408,'ACTIVOS CODIGO'!E:F,2,0)</f>
        <v>ACTIVO EXIGIBLE</v>
      </c>
      <c r="G408" s="10">
        <v>216</v>
      </c>
      <c r="H408" s="10" t="str">
        <f>VLOOKUP(G408,'PUB 21'!$A$1:$B$29,2,0)</f>
        <v>PROVEEDURIAS Y ALMACENES</v>
      </c>
      <c r="K408" s="18"/>
      <c r="M408" s="27" t="str">
        <f t="shared" si="36"/>
        <v>1-2-2-21-60-00</v>
      </c>
      <c r="N408" s="27" t="str">
        <f t="shared" si="37"/>
        <v>PROVEEDURIAS Y ALMACENES</v>
      </c>
      <c r="O408" s="4">
        <f t="shared" si="39"/>
        <v>17</v>
      </c>
      <c r="P408" s="4" t="s">
        <v>426</v>
      </c>
      <c r="Q408" s="4" t="str">
        <f t="shared" si="40"/>
        <v>1-2-2-21-60-00-017</v>
      </c>
      <c r="R408" s="4" t="str">
        <f t="shared" si="38"/>
        <v>APOYO POD. COM (JUGUETES)</v>
      </c>
    </row>
    <row r="409" spans="1:18" ht="23.25" x14ac:dyDescent="0.2">
      <c r="A409" s="1">
        <v>1</v>
      </c>
      <c r="B409" s="6" t="str">
        <f>VLOOKUP(A409,'ACTIVOS CODIGO'!A:B,2,0)</f>
        <v>ACTIVO</v>
      </c>
      <c r="C409" s="2">
        <v>2</v>
      </c>
      <c r="D409" s="7" t="str">
        <f>VLOOKUP(C409,'ACTIVOS CODIGO'!C:D,2,0)</f>
        <v>ACTIVO DE LA HACIENDA = ACTIVO NO CORRIENTE</v>
      </c>
      <c r="E409" s="3">
        <v>2</v>
      </c>
      <c r="F409" s="8" t="str">
        <f>VLOOKUP(E409,'ACTIVOS CODIGO'!E:F,2,0)</f>
        <v>ACTIVO EXIGIBLE</v>
      </c>
      <c r="G409" s="10">
        <v>216</v>
      </c>
      <c r="H409" s="10" t="str">
        <f>VLOOKUP(G409,'PUB 21'!$A$1:$B$29,2,0)</f>
        <v>PROVEEDURIAS Y ALMACENES</v>
      </c>
      <c r="K409" s="18"/>
      <c r="M409" s="27" t="str">
        <f t="shared" si="36"/>
        <v>1-2-2-21-60-00</v>
      </c>
      <c r="N409" s="27" t="str">
        <f t="shared" si="37"/>
        <v>PROVEEDURIAS Y ALMACENES</v>
      </c>
      <c r="O409" s="4">
        <f t="shared" si="39"/>
        <v>18</v>
      </c>
      <c r="P409" s="4" t="s">
        <v>427</v>
      </c>
      <c r="Q409" s="4" t="str">
        <f t="shared" si="40"/>
        <v>1-2-2-21-60-00-018</v>
      </c>
      <c r="R409" s="4" t="str">
        <f t="shared" si="38"/>
        <v>DESP. DEL ALCALDE (MAT. OFIC)</v>
      </c>
    </row>
    <row r="410" spans="1:18" ht="23.25" x14ac:dyDescent="0.2">
      <c r="A410" s="1">
        <v>1</v>
      </c>
      <c r="B410" s="6" t="str">
        <f>VLOOKUP(A410,'ACTIVOS CODIGO'!A:B,2,0)</f>
        <v>ACTIVO</v>
      </c>
      <c r="C410" s="2">
        <v>2</v>
      </c>
      <c r="D410" s="7" t="str">
        <f>VLOOKUP(C410,'ACTIVOS CODIGO'!C:D,2,0)</f>
        <v>ACTIVO DE LA HACIENDA = ACTIVO NO CORRIENTE</v>
      </c>
      <c r="E410" s="3">
        <v>2</v>
      </c>
      <c r="F410" s="8" t="str">
        <f>VLOOKUP(E410,'ACTIVOS CODIGO'!E:F,2,0)</f>
        <v>ACTIVO EXIGIBLE</v>
      </c>
      <c r="G410" s="10">
        <v>216</v>
      </c>
      <c r="H410" s="10" t="str">
        <f>VLOOKUP(G410,'PUB 21'!$A$1:$B$29,2,0)</f>
        <v>PROVEEDURIAS Y ALMACENES</v>
      </c>
      <c r="K410" s="18"/>
      <c r="M410" s="27" t="str">
        <f t="shared" si="36"/>
        <v>1-2-2-21-60-00</v>
      </c>
      <c r="N410" s="27" t="str">
        <f t="shared" si="37"/>
        <v>PROVEEDURIAS Y ALMACENES</v>
      </c>
      <c r="O410" s="4">
        <f t="shared" si="39"/>
        <v>19</v>
      </c>
      <c r="P410" s="4" t="s">
        <v>428</v>
      </c>
      <c r="Q410" s="4" t="str">
        <f t="shared" si="40"/>
        <v>1-2-2-21-60-00-019</v>
      </c>
      <c r="R410" s="4" t="str">
        <f t="shared" si="38"/>
        <v>DESP. DEL ALCALDE (MAT. ASEO)</v>
      </c>
    </row>
    <row r="411" spans="1:18" ht="23.25" x14ac:dyDescent="0.2">
      <c r="A411" s="1">
        <v>1</v>
      </c>
      <c r="B411" s="6" t="str">
        <f>VLOOKUP(A411,'ACTIVOS CODIGO'!A:B,2,0)</f>
        <v>ACTIVO</v>
      </c>
      <c r="C411" s="2">
        <v>2</v>
      </c>
      <c r="D411" s="7" t="str">
        <f>VLOOKUP(C411,'ACTIVOS CODIGO'!C:D,2,0)</f>
        <v>ACTIVO DE LA HACIENDA = ACTIVO NO CORRIENTE</v>
      </c>
      <c r="E411" s="3">
        <v>2</v>
      </c>
      <c r="F411" s="8" t="str">
        <f>VLOOKUP(E411,'ACTIVOS CODIGO'!E:F,2,0)</f>
        <v>ACTIVO EXIGIBLE</v>
      </c>
      <c r="G411" s="10">
        <v>216</v>
      </c>
      <c r="H411" s="10" t="str">
        <f>VLOOKUP(G411,'PUB 21'!$A$1:$B$29,2,0)</f>
        <v>PROVEEDURIAS Y ALMACENES</v>
      </c>
      <c r="K411" s="18"/>
      <c r="M411" s="27" t="str">
        <f t="shared" si="36"/>
        <v>1-2-2-21-60-00</v>
      </c>
      <c r="N411" s="27" t="str">
        <f t="shared" si="37"/>
        <v>PROVEEDURIAS Y ALMACENES</v>
      </c>
      <c r="O411" s="4">
        <f t="shared" si="39"/>
        <v>20</v>
      </c>
      <c r="P411" s="4" t="s">
        <v>429</v>
      </c>
      <c r="Q411" s="4" t="str">
        <f t="shared" si="40"/>
        <v>1-2-2-21-60-00-020</v>
      </c>
      <c r="R411" s="4" t="str">
        <f t="shared" si="38"/>
        <v>DESP. DEL ALCALDE (ALIM. Y BEBI)</v>
      </c>
    </row>
    <row r="412" spans="1:18" ht="23.25" x14ac:dyDescent="0.2">
      <c r="A412" s="1">
        <v>1</v>
      </c>
      <c r="B412" s="6" t="str">
        <f>VLOOKUP(A412,'ACTIVOS CODIGO'!A:B,2,0)</f>
        <v>ACTIVO</v>
      </c>
      <c r="C412" s="2">
        <v>2</v>
      </c>
      <c r="D412" s="7" t="str">
        <f>VLOOKUP(C412,'ACTIVOS CODIGO'!C:D,2,0)</f>
        <v>ACTIVO DE LA HACIENDA = ACTIVO NO CORRIENTE</v>
      </c>
      <c r="E412" s="3">
        <v>2</v>
      </c>
      <c r="F412" s="8" t="str">
        <f>VLOOKUP(E412,'ACTIVOS CODIGO'!E:F,2,0)</f>
        <v>ACTIVO EXIGIBLE</v>
      </c>
      <c r="G412" s="10">
        <v>216</v>
      </c>
      <c r="H412" s="10" t="str">
        <f>VLOOKUP(G412,'PUB 21'!$A$1:$B$29,2,0)</f>
        <v>PROVEEDURIAS Y ALMACENES</v>
      </c>
      <c r="K412" s="18"/>
      <c r="M412" s="27" t="str">
        <f t="shared" si="36"/>
        <v>1-2-2-21-60-00</v>
      </c>
      <c r="N412" s="27" t="str">
        <f t="shared" si="37"/>
        <v>PROVEEDURIAS Y ALMACENES</v>
      </c>
      <c r="O412" s="4">
        <f t="shared" si="39"/>
        <v>21</v>
      </c>
      <c r="P412" s="4" t="s">
        <v>430</v>
      </c>
      <c r="Q412" s="4" t="str">
        <f t="shared" si="40"/>
        <v>1-2-2-21-60-00-021</v>
      </c>
      <c r="R412" s="4" t="str">
        <f t="shared" si="38"/>
        <v>REGISTRO CIVIL (MAT. DE OFIC)</v>
      </c>
    </row>
    <row r="413" spans="1:18" ht="23.25" x14ac:dyDescent="0.2">
      <c r="A413" s="1">
        <v>1</v>
      </c>
      <c r="B413" s="6" t="str">
        <f>VLOOKUP(A413,'ACTIVOS CODIGO'!A:B,2,0)</f>
        <v>ACTIVO</v>
      </c>
      <c r="C413" s="2">
        <v>2</v>
      </c>
      <c r="D413" s="7" t="str">
        <f>VLOOKUP(C413,'ACTIVOS CODIGO'!C:D,2,0)</f>
        <v>ACTIVO DE LA HACIENDA = ACTIVO NO CORRIENTE</v>
      </c>
      <c r="E413" s="3">
        <v>2</v>
      </c>
      <c r="F413" s="8" t="str">
        <f>VLOOKUP(E413,'ACTIVOS CODIGO'!E:F,2,0)</f>
        <v>ACTIVO EXIGIBLE</v>
      </c>
      <c r="G413" s="10">
        <v>216</v>
      </c>
      <c r="H413" s="10" t="str">
        <f>VLOOKUP(G413,'PUB 21'!$A$1:$B$29,2,0)</f>
        <v>PROVEEDURIAS Y ALMACENES</v>
      </c>
      <c r="K413" s="18"/>
      <c r="M413" s="27" t="str">
        <f t="shared" si="36"/>
        <v>1-2-2-21-60-00</v>
      </c>
      <c r="N413" s="27" t="str">
        <f t="shared" si="37"/>
        <v>PROVEEDURIAS Y ALMACENES</v>
      </c>
      <c r="O413" s="4">
        <f t="shared" si="39"/>
        <v>22</v>
      </c>
      <c r="P413" s="4" t="s">
        <v>431</v>
      </c>
      <c r="Q413" s="4" t="str">
        <f t="shared" si="40"/>
        <v>1-2-2-21-60-00-022</v>
      </c>
      <c r="R413" s="4" t="str">
        <f t="shared" si="38"/>
        <v>REGISTRO CIVIL (MAT. DE ASEO)</v>
      </c>
    </row>
    <row r="414" spans="1:18" ht="23.25" x14ac:dyDescent="0.2">
      <c r="A414" s="1">
        <v>1</v>
      </c>
      <c r="B414" s="6" t="str">
        <f>VLOOKUP(A414,'ACTIVOS CODIGO'!A:B,2,0)</f>
        <v>ACTIVO</v>
      </c>
      <c r="C414" s="2">
        <v>2</v>
      </c>
      <c r="D414" s="7" t="str">
        <f>VLOOKUP(C414,'ACTIVOS CODIGO'!C:D,2,0)</f>
        <v>ACTIVO DE LA HACIENDA = ACTIVO NO CORRIENTE</v>
      </c>
      <c r="E414" s="3">
        <v>2</v>
      </c>
      <c r="F414" s="8" t="str">
        <f>VLOOKUP(E414,'ACTIVOS CODIGO'!E:F,2,0)</f>
        <v>ACTIVO EXIGIBLE</v>
      </c>
      <c r="G414" s="10">
        <v>216</v>
      </c>
      <c r="H414" s="10" t="str">
        <f>VLOOKUP(G414,'PUB 21'!$A$1:$B$29,2,0)</f>
        <v>PROVEEDURIAS Y ALMACENES</v>
      </c>
      <c r="K414" s="18"/>
      <c r="M414" s="27" t="str">
        <f t="shared" si="36"/>
        <v>1-2-2-21-60-00</v>
      </c>
      <c r="N414" s="27" t="str">
        <f t="shared" si="37"/>
        <v>PROVEEDURIAS Y ALMACENES</v>
      </c>
      <c r="O414" s="4">
        <f t="shared" si="39"/>
        <v>23</v>
      </c>
      <c r="P414" s="4" t="s">
        <v>432</v>
      </c>
      <c r="Q414" s="4" t="str">
        <f t="shared" si="40"/>
        <v>1-2-2-21-60-00-023</v>
      </c>
      <c r="R414" s="4" t="str">
        <f t="shared" si="38"/>
        <v>REGISTRO CIVIL (MAT. DE CONST)</v>
      </c>
    </row>
    <row r="415" spans="1:18" ht="23.25" x14ac:dyDescent="0.2">
      <c r="A415" s="1">
        <v>1</v>
      </c>
      <c r="B415" s="6" t="str">
        <f>VLOOKUP(A415,'ACTIVOS CODIGO'!A:B,2,0)</f>
        <v>ACTIVO</v>
      </c>
      <c r="C415" s="2">
        <v>2</v>
      </c>
      <c r="D415" s="7" t="str">
        <f>VLOOKUP(C415,'ACTIVOS CODIGO'!C:D,2,0)</f>
        <v>ACTIVO DE LA HACIENDA = ACTIVO NO CORRIENTE</v>
      </c>
      <c r="E415" s="3">
        <v>2</v>
      </c>
      <c r="F415" s="8" t="str">
        <f>VLOOKUP(E415,'ACTIVOS CODIGO'!E:F,2,0)</f>
        <v>ACTIVO EXIGIBLE</v>
      </c>
      <c r="G415" s="10">
        <v>216</v>
      </c>
      <c r="H415" s="10" t="str">
        <f>VLOOKUP(G415,'PUB 21'!$A$1:$B$29,2,0)</f>
        <v>PROVEEDURIAS Y ALMACENES</v>
      </c>
      <c r="K415" s="18"/>
      <c r="M415" s="27" t="str">
        <f t="shared" si="36"/>
        <v>1-2-2-21-60-00</v>
      </c>
      <c r="N415" s="27" t="str">
        <f t="shared" si="37"/>
        <v>PROVEEDURIAS Y ALMACENES</v>
      </c>
      <c r="O415" s="4">
        <f t="shared" si="39"/>
        <v>24</v>
      </c>
      <c r="P415" s="4" t="s">
        <v>433</v>
      </c>
      <c r="Q415" s="4" t="str">
        <f t="shared" si="40"/>
        <v>1-2-2-21-60-00-024</v>
      </c>
      <c r="R415" s="4" t="str">
        <f t="shared" si="38"/>
        <v>SUMAT (MAT. DE OFICINA)</v>
      </c>
    </row>
    <row r="416" spans="1:18" ht="23.25" x14ac:dyDescent="0.2">
      <c r="A416" s="1">
        <v>1</v>
      </c>
      <c r="B416" s="6" t="str">
        <f>VLOOKUP(A416,'ACTIVOS CODIGO'!A:B,2,0)</f>
        <v>ACTIVO</v>
      </c>
      <c r="C416" s="2">
        <v>2</v>
      </c>
      <c r="D416" s="7" t="str">
        <f>VLOOKUP(C416,'ACTIVOS CODIGO'!C:D,2,0)</f>
        <v>ACTIVO DE LA HACIENDA = ACTIVO NO CORRIENTE</v>
      </c>
      <c r="E416" s="3">
        <v>2</v>
      </c>
      <c r="F416" s="8" t="str">
        <f>VLOOKUP(E416,'ACTIVOS CODIGO'!E:F,2,0)</f>
        <v>ACTIVO EXIGIBLE</v>
      </c>
      <c r="G416" s="10">
        <v>216</v>
      </c>
      <c r="H416" s="10" t="str">
        <f>VLOOKUP(G416,'PUB 21'!$A$1:$B$29,2,0)</f>
        <v>PROVEEDURIAS Y ALMACENES</v>
      </c>
      <c r="K416" s="18"/>
      <c r="M416" s="27" t="str">
        <f t="shared" si="36"/>
        <v>1-2-2-21-60-00</v>
      </c>
      <c r="N416" s="27" t="str">
        <f t="shared" si="37"/>
        <v>PROVEEDURIAS Y ALMACENES</v>
      </c>
      <c r="O416" s="4">
        <f t="shared" si="39"/>
        <v>25</v>
      </c>
      <c r="P416" s="4" t="s">
        <v>434</v>
      </c>
      <c r="Q416" s="4" t="str">
        <f t="shared" si="40"/>
        <v>1-2-2-21-60-00-025</v>
      </c>
      <c r="R416" s="4" t="str">
        <f t="shared" si="38"/>
        <v>SUMAT (MAT. DE ASEO)</v>
      </c>
    </row>
    <row r="417" spans="1:18" ht="23.25" x14ac:dyDescent="0.2">
      <c r="A417" s="1">
        <v>1</v>
      </c>
      <c r="B417" s="6" t="str">
        <f>VLOOKUP(A417,'ACTIVOS CODIGO'!A:B,2,0)</f>
        <v>ACTIVO</v>
      </c>
      <c r="C417" s="2">
        <v>2</v>
      </c>
      <c r="D417" s="7" t="str">
        <f>VLOOKUP(C417,'ACTIVOS CODIGO'!C:D,2,0)</f>
        <v>ACTIVO DE LA HACIENDA = ACTIVO NO CORRIENTE</v>
      </c>
      <c r="E417" s="3">
        <v>2</v>
      </c>
      <c r="F417" s="8" t="str">
        <f>VLOOKUP(E417,'ACTIVOS CODIGO'!E:F,2,0)</f>
        <v>ACTIVO EXIGIBLE</v>
      </c>
      <c r="G417" s="10">
        <v>216</v>
      </c>
      <c r="H417" s="10" t="str">
        <f>VLOOKUP(G417,'PUB 21'!$A$1:$B$29,2,0)</f>
        <v>PROVEEDURIAS Y ALMACENES</v>
      </c>
      <c r="K417" s="18"/>
      <c r="M417" s="27" t="str">
        <f t="shared" si="36"/>
        <v>1-2-2-21-60-00</v>
      </c>
      <c r="N417" s="27" t="str">
        <f t="shared" si="37"/>
        <v>PROVEEDURIAS Y ALMACENES</v>
      </c>
      <c r="O417" s="4">
        <f t="shared" si="39"/>
        <v>26</v>
      </c>
      <c r="P417" s="4" t="s">
        <v>435</v>
      </c>
      <c r="Q417" s="4" t="str">
        <f t="shared" si="40"/>
        <v>1-2-2-21-60-00-026</v>
      </c>
      <c r="R417" s="4" t="str">
        <f t="shared" si="38"/>
        <v>SUMAT (MAT. CONST.)</v>
      </c>
    </row>
    <row r="418" spans="1:18" ht="23.25" x14ac:dyDescent="0.2">
      <c r="A418" s="1">
        <v>1</v>
      </c>
      <c r="B418" s="6" t="str">
        <f>VLOOKUP(A418,'ACTIVOS CODIGO'!A:B,2,0)</f>
        <v>ACTIVO</v>
      </c>
      <c r="C418" s="2">
        <v>2</v>
      </c>
      <c r="D418" s="7" t="str">
        <f>VLOOKUP(C418,'ACTIVOS CODIGO'!C:D,2,0)</f>
        <v>ACTIVO DE LA HACIENDA = ACTIVO NO CORRIENTE</v>
      </c>
      <c r="E418" s="3">
        <v>2</v>
      </c>
      <c r="F418" s="8" t="str">
        <f>VLOOKUP(E418,'ACTIVOS CODIGO'!E:F,2,0)</f>
        <v>ACTIVO EXIGIBLE</v>
      </c>
      <c r="G418" s="10">
        <v>216</v>
      </c>
      <c r="H418" s="10" t="str">
        <f>VLOOKUP(G418,'PUB 21'!$A$1:$B$29,2,0)</f>
        <v>PROVEEDURIAS Y ALMACENES</v>
      </c>
      <c r="K418" s="18"/>
      <c r="M418" s="27" t="str">
        <f t="shared" si="36"/>
        <v>1-2-2-21-60-00</v>
      </c>
      <c r="N418" s="27" t="str">
        <f t="shared" si="37"/>
        <v>PROVEEDURIAS Y ALMACENES</v>
      </c>
      <c r="O418" s="4">
        <f t="shared" si="39"/>
        <v>27</v>
      </c>
      <c r="P418" s="4" t="s">
        <v>436</v>
      </c>
      <c r="Q418" s="4" t="str">
        <f t="shared" si="40"/>
        <v>1-2-2-21-60-00-027</v>
      </c>
      <c r="R418" s="4" t="str">
        <f t="shared" si="38"/>
        <v>SUMAT (ALIMENT Y BEBI)</v>
      </c>
    </row>
    <row r="419" spans="1:18" ht="23.25" x14ac:dyDescent="0.2">
      <c r="A419" s="1">
        <v>1</v>
      </c>
      <c r="B419" s="6" t="str">
        <f>VLOOKUP(A419,'ACTIVOS CODIGO'!A:B,2,0)</f>
        <v>ACTIVO</v>
      </c>
      <c r="C419" s="2">
        <v>2</v>
      </c>
      <c r="D419" s="7" t="str">
        <f>VLOOKUP(C419,'ACTIVOS CODIGO'!C:D,2,0)</f>
        <v>ACTIVO DE LA HACIENDA = ACTIVO NO CORRIENTE</v>
      </c>
      <c r="E419" s="3">
        <v>2</v>
      </c>
      <c r="F419" s="8" t="str">
        <f>VLOOKUP(E419,'ACTIVOS CODIGO'!E:F,2,0)</f>
        <v>ACTIVO EXIGIBLE</v>
      </c>
      <c r="G419" s="10">
        <v>216</v>
      </c>
      <c r="H419" s="10" t="str">
        <f>VLOOKUP(G419,'PUB 21'!$A$1:$B$29,2,0)</f>
        <v>PROVEEDURIAS Y ALMACENES</v>
      </c>
      <c r="K419" s="18"/>
      <c r="M419" s="27" t="str">
        <f t="shared" si="36"/>
        <v>1-2-2-21-60-00</v>
      </c>
      <c r="N419" s="27" t="str">
        <f t="shared" si="37"/>
        <v>PROVEEDURIAS Y ALMACENES</v>
      </c>
      <c r="O419" s="4">
        <f t="shared" si="39"/>
        <v>28</v>
      </c>
      <c r="P419" s="4" t="s">
        <v>437</v>
      </c>
      <c r="Q419" s="4" t="str">
        <f t="shared" si="40"/>
        <v>1-2-2-21-60-00-028</v>
      </c>
      <c r="R419" s="4" t="str">
        <f t="shared" si="38"/>
        <v>SUMAT (MAT. DE ELECT.)</v>
      </c>
    </row>
    <row r="420" spans="1:18" ht="23.25" x14ac:dyDescent="0.2">
      <c r="A420" s="1">
        <v>1</v>
      </c>
      <c r="B420" s="6" t="str">
        <f>VLOOKUP(A420,'ACTIVOS CODIGO'!A:B,2,0)</f>
        <v>ACTIVO</v>
      </c>
      <c r="C420" s="2">
        <v>2</v>
      </c>
      <c r="D420" s="7" t="str">
        <f>VLOOKUP(C420,'ACTIVOS CODIGO'!C:D,2,0)</f>
        <v>ACTIVO DE LA HACIENDA = ACTIVO NO CORRIENTE</v>
      </c>
      <c r="E420" s="3">
        <v>2</v>
      </c>
      <c r="F420" s="8" t="str">
        <f>VLOOKUP(E420,'ACTIVOS CODIGO'!E:F,2,0)</f>
        <v>ACTIVO EXIGIBLE</v>
      </c>
      <c r="G420" s="10">
        <v>216</v>
      </c>
      <c r="H420" s="10" t="str">
        <f>VLOOKUP(G420,'PUB 21'!$A$1:$B$29,2,0)</f>
        <v>PROVEEDURIAS Y ALMACENES</v>
      </c>
      <c r="K420" s="18"/>
      <c r="M420" s="27" t="str">
        <f t="shared" si="36"/>
        <v>1-2-2-21-60-00</v>
      </c>
      <c r="N420" s="27" t="str">
        <f t="shared" si="37"/>
        <v>PROVEEDURIAS Y ALMACENES</v>
      </c>
      <c r="O420" s="4">
        <f t="shared" si="39"/>
        <v>29</v>
      </c>
      <c r="P420" s="4" t="s">
        <v>438</v>
      </c>
      <c r="Q420" s="4" t="str">
        <f t="shared" si="40"/>
        <v>1-2-2-21-60-00-029</v>
      </c>
      <c r="R420" s="4" t="str">
        <f t="shared" si="38"/>
        <v>SUMAT (ART. DEPORTIVOS)</v>
      </c>
    </row>
    <row r="421" spans="1:18" ht="23.25" x14ac:dyDescent="0.2">
      <c r="A421" s="1">
        <v>1</v>
      </c>
      <c r="B421" s="6" t="str">
        <f>VLOOKUP(A421,'ACTIVOS CODIGO'!A:B,2,0)</f>
        <v>ACTIVO</v>
      </c>
      <c r="C421" s="2">
        <v>2</v>
      </c>
      <c r="D421" s="7" t="str">
        <f>VLOOKUP(C421,'ACTIVOS CODIGO'!C:D,2,0)</f>
        <v>ACTIVO DE LA HACIENDA = ACTIVO NO CORRIENTE</v>
      </c>
      <c r="E421" s="3">
        <v>2</v>
      </c>
      <c r="F421" s="8" t="str">
        <f>VLOOKUP(E421,'ACTIVOS CODIGO'!E:F,2,0)</f>
        <v>ACTIVO EXIGIBLE</v>
      </c>
      <c r="G421" s="10">
        <v>216</v>
      </c>
      <c r="H421" s="10" t="str">
        <f>VLOOKUP(G421,'PUB 21'!$A$1:$B$29,2,0)</f>
        <v>PROVEEDURIAS Y ALMACENES</v>
      </c>
      <c r="K421" s="18"/>
      <c r="M421" s="27" t="str">
        <f t="shared" si="36"/>
        <v>1-2-2-21-60-00</v>
      </c>
      <c r="N421" s="27" t="str">
        <f t="shared" si="37"/>
        <v>PROVEEDURIAS Y ALMACENES</v>
      </c>
      <c r="O421" s="4">
        <f t="shared" si="39"/>
        <v>30</v>
      </c>
      <c r="P421" s="4" t="s">
        <v>439</v>
      </c>
      <c r="Q421" s="4" t="str">
        <f t="shared" si="40"/>
        <v>1-2-2-21-60-00-030</v>
      </c>
      <c r="R421" s="4" t="str">
        <f t="shared" si="38"/>
        <v>SUMAT (ART. DE SEGURIDAD)</v>
      </c>
    </row>
    <row r="422" spans="1:18" ht="23.25" x14ac:dyDescent="0.2">
      <c r="A422" s="1">
        <v>1</v>
      </c>
      <c r="B422" s="6" t="str">
        <f>VLOOKUP(A422,'ACTIVOS CODIGO'!A:B,2,0)</f>
        <v>ACTIVO</v>
      </c>
      <c r="C422" s="2">
        <v>2</v>
      </c>
      <c r="D422" s="7" t="str">
        <f>VLOOKUP(C422,'ACTIVOS CODIGO'!C:D,2,0)</f>
        <v>ACTIVO DE LA HACIENDA = ACTIVO NO CORRIENTE</v>
      </c>
      <c r="E422" s="3">
        <v>2</v>
      </c>
      <c r="F422" s="8" t="str">
        <f>VLOOKUP(E422,'ACTIVOS CODIGO'!E:F,2,0)</f>
        <v>ACTIVO EXIGIBLE</v>
      </c>
      <c r="G422" s="10">
        <v>216</v>
      </c>
      <c r="H422" s="10" t="str">
        <f>VLOOKUP(G422,'PUB 21'!$A$1:$B$29,2,0)</f>
        <v>PROVEEDURIAS Y ALMACENES</v>
      </c>
      <c r="K422" s="18"/>
      <c r="M422" s="27" t="str">
        <f t="shared" si="36"/>
        <v>1-2-2-21-60-00</v>
      </c>
      <c r="N422" s="27" t="str">
        <f t="shared" si="37"/>
        <v>PROVEEDURIAS Y ALMACENES</v>
      </c>
      <c r="O422" s="4">
        <f t="shared" si="39"/>
        <v>31</v>
      </c>
      <c r="P422" s="4" t="s">
        <v>440</v>
      </c>
      <c r="Q422" s="4" t="str">
        <f t="shared" si="40"/>
        <v>1-2-2-21-60-00-031</v>
      </c>
      <c r="R422" s="4" t="str">
        <f t="shared" si="38"/>
        <v>SUMAT (ART. USO DOMEST)</v>
      </c>
    </row>
    <row r="423" spans="1:18" ht="23.25" x14ac:dyDescent="0.2">
      <c r="A423" s="1">
        <v>1</v>
      </c>
      <c r="B423" s="6" t="str">
        <f>VLOOKUP(A423,'ACTIVOS CODIGO'!A:B,2,0)</f>
        <v>ACTIVO</v>
      </c>
      <c r="C423" s="2">
        <v>2</v>
      </c>
      <c r="D423" s="7" t="str">
        <f>VLOOKUP(C423,'ACTIVOS CODIGO'!C:D,2,0)</f>
        <v>ACTIVO DE LA HACIENDA = ACTIVO NO CORRIENTE</v>
      </c>
      <c r="E423" s="3">
        <v>2</v>
      </c>
      <c r="F423" s="8" t="str">
        <f>VLOOKUP(E423,'ACTIVOS CODIGO'!E:F,2,0)</f>
        <v>ACTIVO EXIGIBLE</v>
      </c>
      <c r="G423" s="10">
        <v>216</v>
      </c>
      <c r="H423" s="10" t="str">
        <f>VLOOKUP(G423,'PUB 21'!$A$1:$B$29,2,0)</f>
        <v>PROVEEDURIAS Y ALMACENES</v>
      </c>
      <c r="K423" s="18"/>
      <c r="M423" s="27" t="str">
        <f t="shared" si="36"/>
        <v>1-2-2-21-60-00</v>
      </c>
      <c r="N423" s="27" t="str">
        <f t="shared" si="37"/>
        <v>PROVEEDURIAS Y ALMACENES</v>
      </c>
      <c r="O423" s="4">
        <f t="shared" si="39"/>
        <v>32</v>
      </c>
      <c r="P423" s="4" t="s">
        <v>441</v>
      </c>
      <c r="Q423" s="4" t="str">
        <f t="shared" si="40"/>
        <v>1-2-2-21-60-00-032</v>
      </c>
      <c r="R423" s="4" t="str">
        <f t="shared" si="38"/>
        <v>SUMAT (REPUESTOS, ACCES,
SUMAT (MAT. DE CONSUMO)</v>
      </c>
    </row>
    <row r="424" spans="1:18" ht="23.25" x14ac:dyDescent="0.2">
      <c r="A424" s="1">
        <v>1</v>
      </c>
      <c r="B424" s="6" t="str">
        <f>VLOOKUP(A424,'ACTIVOS CODIGO'!A:B,2,0)</f>
        <v>ACTIVO</v>
      </c>
      <c r="C424" s="2">
        <v>2</v>
      </c>
      <c r="D424" s="7" t="str">
        <f>VLOOKUP(C424,'ACTIVOS CODIGO'!C:D,2,0)</f>
        <v>ACTIVO DE LA HACIENDA = ACTIVO NO CORRIENTE</v>
      </c>
      <c r="E424" s="3">
        <v>2</v>
      </c>
      <c r="F424" s="8" t="str">
        <f>VLOOKUP(E424,'ACTIVOS CODIGO'!E:F,2,0)</f>
        <v>ACTIVO EXIGIBLE</v>
      </c>
      <c r="G424" s="10">
        <v>216</v>
      </c>
      <c r="H424" s="10" t="str">
        <f>VLOOKUP(G424,'PUB 21'!$A$1:$B$29,2,0)</f>
        <v>PROVEEDURIAS Y ALMACENES</v>
      </c>
      <c r="K424" s="18"/>
      <c r="M424" s="27" t="str">
        <f t="shared" si="36"/>
        <v>1-2-2-21-60-00</v>
      </c>
      <c r="N424" s="27" t="str">
        <f t="shared" si="37"/>
        <v>PROVEEDURIAS Y ALMACENES</v>
      </c>
      <c r="O424" s="4">
        <f t="shared" si="39"/>
        <v>33</v>
      </c>
      <c r="P424" s="4" t="s">
        <v>442</v>
      </c>
      <c r="Q424" s="4" t="str">
        <f t="shared" si="40"/>
        <v>1-2-2-21-60-00-033</v>
      </c>
      <c r="R424" s="4" t="str">
        <f t="shared" si="38"/>
        <v>SUMAT (MAT. AGRIC. Y PEC.)</v>
      </c>
    </row>
    <row r="425" spans="1:18" ht="23.25" x14ac:dyDescent="0.2">
      <c r="A425" s="1">
        <v>1</v>
      </c>
      <c r="B425" s="6" t="str">
        <f>VLOOKUP(A425,'ACTIVOS CODIGO'!A:B,2,0)</f>
        <v>ACTIVO</v>
      </c>
      <c r="C425" s="2">
        <v>2</v>
      </c>
      <c r="D425" s="7" t="str">
        <f>VLOOKUP(C425,'ACTIVOS CODIGO'!C:D,2,0)</f>
        <v>ACTIVO DE LA HACIENDA = ACTIVO NO CORRIENTE</v>
      </c>
      <c r="E425" s="3">
        <v>2</v>
      </c>
      <c r="F425" s="8" t="str">
        <f>VLOOKUP(E425,'ACTIVOS CODIGO'!E:F,2,0)</f>
        <v>ACTIVO EXIGIBLE</v>
      </c>
      <c r="G425" s="10">
        <v>216</v>
      </c>
      <c r="H425" s="10" t="str">
        <f>VLOOKUP(G425,'PUB 21'!$A$1:$B$29,2,0)</f>
        <v>PROVEEDURIAS Y ALMACENES</v>
      </c>
      <c r="K425" s="18"/>
      <c r="M425" s="27" t="str">
        <f t="shared" si="36"/>
        <v>1-2-2-21-60-00</v>
      </c>
      <c r="N425" s="27" t="str">
        <f t="shared" si="37"/>
        <v>PROVEEDURIAS Y ALMACENES</v>
      </c>
      <c r="O425" s="4">
        <f t="shared" si="39"/>
        <v>34</v>
      </c>
      <c r="P425" s="4" t="s">
        <v>443</v>
      </c>
      <c r="Q425" s="4" t="str">
        <f t="shared" si="40"/>
        <v>1-2-2-21-60-00-034</v>
      </c>
      <c r="R425" s="4" t="str">
        <f t="shared" si="38"/>
        <v>CONTROL URB. (MAT. DE OFIC.)</v>
      </c>
    </row>
    <row r="426" spans="1:18" ht="23.25" x14ac:dyDescent="0.2">
      <c r="A426" s="1">
        <v>1</v>
      </c>
      <c r="B426" s="6" t="str">
        <f>VLOOKUP(A426,'ACTIVOS CODIGO'!A:B,2,0)</f>
        <v>ACTIVO</v>
      </c>
      <c r="C426" s="2">
        <v>2</v>
      </c>
      <c r="D426" s="7" t="str">
        <f>VLOOKUP(C426,'ACTIVOS CODIGO'!C:D,2,0)</f>
        <v>ACTIVO DE LA HACIENDA = ACTIVO NO CORRIENTE</v>
      </c>
      <c r="E426" s="3">
        <v>2</v>
      </c>
      <c r="F426" s="8" t="str">
        <f>VLOOKUP(E426,'ACTIVOS CODIGO'!E:F,2,0)</f>
        <v>ACTIVO EXIGIBLE</v>
      </c>
      <c r="G426" s="10">
        <v>216</v>
      </c>
      <c r="H426" s="10" t="str">
        <f>VLOOKUP(G426,'PUB 21'!$A$1:$B$29,2,0)</f>
        <v>PROVEEDURIAS Y ALMACENES</v>
      </c>
      <c r="K426" s="18"/>
      <c r="M426" s="27" t="str">
        <f t="shared" si="36"/>
        <v>1-2-2-21-60-00</v>
      </c>
      <c r="N426" s="27" t="str">
        <f t="shared" si="37"/>
        <v>PROVEEDURIAS Y ALMACENES</v>
      </c>
      <c r="O426" s="4">
        <f t="shared" si="39"/>
        <v>35</v>
      </c>
      <c r="P426" s="4" t="s">
        <v>444</v>
      </c>
      <c r="Q426" s="4" t="str">
        <f t="shared" si="40"/>
        <v>1-2-2-21-60-00-035</v>
      </c>
      <c r="R426" s="4" t="str">
        <f t="shared" si="38"/>
        <v>CONTROL URB.(MAT. DE ASEO)</v>
      </c>
    </row>
    <row r="427" spans="1:18" ht="23.25" x14ac:dyDescent="0.2">
      <c r="A427" s="1">
        <v>1</v>
      </c>
      <c r="B427" s="6" t="str">
        <f>VLOOKUP(A427,'ACTIVOS CODIGO'!A:B,2,0)</f>
        <v>ACTIVO</v>
      </c>
      <c r="C427" s="2">
        <v>2</v>
      </c>
      <c r="D427" s="7" t="str">
        <f>VLOOKUP(C427,'ACTIVOS CODIGO'!C:D,2,0)</f>
        <v>ACTIVO DE LA HACIENDA = ACTIVO NO CORRIENTE</v>
      </c>
      <c r="E427" s="3">
        <v>2</v>
      </c>
      <c r="F427" s="8" t="str">
        <f>VLOOKUP(E427,'ACTIVOS CODIGO'!E:F,2,0)</f>
        <v>ACTIVO EXIGIBLE</v>
      </c>
      <c r="G427" s="10">
        <v>216</v>
      </c>
      <c r="H427" s="10" t="str">
        <f>VLOOKUP(G427,'PUB 21'!$A$1:$B$29,2,0)</f>
        <v>PROVEEDURIAS Y ALMACENES</v>
      </c>
      <c r="K427" s="18"/>
      <c r="M427" s="27" t="str">
        <f t="shared" si="36"/>
        <v>1-2-2-21-60-00</v>
      </c>
      <c r="N427" s="27" t="str">
        <f t="shared" si="37"/>
        <v>PROVEEDURIAS Y ALMACENES</v>
      </c>
      <c r="O427" s="4">
        <f t="shared" si="39"/>
        <v>36</v>
      </c>
      <c r="P427" s="4" t="s">
        <v>445</v>
      </c>
      <c r="Q427" s="4" t="str">
        <f t="shared" si="40"/>
        <v>1-2-2-21-60-00-036</v>
      </c>
      <c r="R427" s="4" t="str">
        <f t="shared" si="38"/>
        <v>CONTROL URB. (ALIMENTOS Y BEBID.)</v>
      </c>
    </row>
    <row r="428" spans="1:18" ht="23.25" x14ac:dyDescent="0.2">
      <c r="A428" s="1">
        <v>1</v>
      </c>
      <c r="B428" s="6" t="str">
        <f>VLOOKUP(A428,'ACTIVOS CODIGO'!A:B,2,0)</f>
        <v>ACTIVO</v>
      </c>
      <c r="C428" s="2">
        <v>2</v>
      </c>
      <c r="D428" s="7" t="str">
        <f>VLOOKUP(C428,'ACTIVOS CODIGO'!C:D,2,0)</f>
        <v>ACTIVO DE LA HACIENDA = ACTIVO NO CORRIENTE</v>
      </c>
      <c r="E428" s="3">
        <v>2</v>
      </c>
      <c r="F428" s="8" t="str">
        <f>VLOOKUP(E428,'ACTIVOS CODIGO'!E:F,2,0)</f>
        <v>ACTIVO EXIGIBLE</v>
      </c>
      <c r="G428" s="10">
        <v>216</v>
      </c>
      <c r="H428" s="10" t="str">
        <f>VLOOKUP(G428,'PUB 21'!$A$1:$B$29,2,0)</f>
        <v>PROVEEDURIAS Y ALMACENES</v>
      </c>
      <c r="K428" s="18"/>
      <c r="M428" s="27" t="str">
        <f t="shared" si="36"/>
        <v>1-2-2-21-60-00</v>
      </c>
      <c r="N428" s="27" t="str">
        <f t="shared" si="37"/>
        <v>PROVEEDURIAS Y ALMACENES</v>
      </c>
      <c r="O428" s="4">
        <f t="shared" si="39"/>
        <v>37</v>
      </c>
      <c r="P428" s="4" t="s">
        <v>446</v>
      </c>
      <c r="Q428" s="4" t="str">
        <f t="shared" si="40"/>
        <v>1-2-2-21-60-00-037</v>
      </c>
      <c r="R428" s="4" t="str">
        <f t="shared" si="38"/>
        <v>CONTROL URB. (MAT. DE CONST.)</v>
      </c>
    </row>
    <row r="429" spans="1:18" ht="23.25" x14ac:dyDescent="0.2">
      <c r="A429" s="1">
        <v>1</v>
      </c>
      <c r="B429" s="6" t="str">
        <f>VLOOKUP(A429,'ACTIVOS CODIGO'!A:B,2,0)</f>
        <v>ACTIVO</v>
      </c>
      <c r="C429" s="2">
        <v>2</v>
      </c>
      <c r="D429" s="7" t="str">
        <f>VLOOKUP(C429,'ACTIVOS CODIGO'!C:D,2,0)</f>
        <v>ACTIVO DE LA HACIENDA = ACTIVO NO CORRIENTE</v>
      </c>
      <c r="E429" s="3">
        <v>2</v>
      </c>
      <c r="F429" s="8" t="str">
        <f>VLOOKUP(E429,'ACTIVOS CODIGO'!E:F,2,0)</f>
        <v>ACTIVO EXIGIBLE</v>
      </c>
      <c r="G429" s="10">
        <v>216</v>
      </c>
      <c r="H429" s="10" t="str">
        <f>VLOOKUP(G429,'PUB 21'!$A$1:$B$29,2,0)</f>
        <v>PROVEEDURIAS Y ALMACENES</v>
      </c>
      <c r="K429" s="18"/>
      <c r="M429" s="27" t="str">
        <f t="shared" ref="M429:M471" si="41">CONCATENATE(TEXT(A429,"0"),"-",TEXT(C429,"0"),"-",TEXT(E429,"0"),"-",TEXT(LEFT(G429,2),"00"),"-",TEXT(RIGHT(G429,1),"0"),TEXT(I429,"0"),"-",TEXT(K429,"00"))</f>
        <v>1-2-2-21-60-00</v>
      </c>
      <c r="N429" s="27" t="str">
        <f t="shared" ref="N429:N471" si="42">IF(L429="",IF(J429="",IF(H429="",IF(F429="",IF(D429="",B429,D429),F429),H429),J429),L429)</f>
        <v>PROVEEDURIAS Y ALMACENES</v>
      </c>
      <c r="O429" s="4">
        <f t="shared" si="39"/>
        <v>38</v>
      </c>
      <c r="P429" s="4" t="s">
        <v>447</v>
      </c>
      <c r="Q429" s="4" t="str">
        <f t="shared" si="40"/>
        <v>1-2-2-21-60-00-038</v>
      </c>
      <c r="R429" s="4" t="str">
        <f t="shared" si="38"/>
        <v>CONTROL URB. (ART. DE SEGURIDAD)</v>
      </c>
    </row>
    <row r="430" spans="1:18" ht="23.25" x14ac:dyDescent="0.2">
      <c r="A430" s="1">
        <v>1</v>
      </c>
      <c r="B430" s="6" t="str">
        <f>VLOOKUP(A430,'ACTIVOS CODIGO'!A:B,2,0)</f>
        <v>ACTIVO</v>
      </c>
      <c r="C430" s="2">
        <v>2</v>
      </c>
      <c r="D430" s="7" t="str">
        <f>VLOOKUP(C430,'ACTIVOS CODIGO'!C:D,2,0)</f>
        <v>ACTIVO DE LA HACIENDA = ACTIVO NO CORRIENTE</v>
      </c>
      <c r="E430" s="3">
        <v>2</v>
      </c>
      <c r="F430" s="8" t="str">
        <f>VLOOKUP(E430,'ACTIVOS CODIGO'!E:F,2,0)</f>
        <v>ACTIVO EXIGIBLE</v>
      </c>
      <c r="G430" s="10">
        <v>216</v>
      </c>
      <c r="H430" s="10" t="str">
        <f>VLOOKUP(G430,'PUB 21'!$A$1:$B$29,2,0)</f>
        <v>PROVEEDURIAS Y ALMACENES</v>
      </c>
      <c r="K430" s="18"/>
      <c r="M430" s="27" t="str">
        <f t="shared" si="41"/>
        <v>1-2-2-21-60-00</v>
      </c>
      <c r="N430" s="27" t="str">
        <f t="shared" si="42"/>
        <v>PROVEEDURIAS Y ALMACENES</v>
      </c>
      <c r="O430" s="4">
        <f t="shared" si="39"/>
        <v>39</v>
      </c>
      <c r="P430" s="4" t="s">
        <v>448</v>
      </c>
      <c r="Q430" s="4" t="str">
        <f t="shared" si="40"/>
        <v>1-2-2-21-60-00-039</v>
      </c>
      <c r="R430" s="4" t="str">
        <f t="shared" si="38"/>
        <v>CONTROL URB. (REPUESTOS Y ACCES.</v>
      </c>
    </row>
    <row r="431" spans="1:18" ht="23.25" x14ac:dyDescent="0.2">
      <c r="A431" s="1">
        <v>1</v>
      </c>
      <c r="B431" s="6" t="str">
        <f>VLOOKUP(A431,'ACTIVOS CODIGO'!A:B,2,0)</f>
        <v>ACTIVO</v>
      </c>
      <c r="C431" s="2">
        <v>2</v>
      </c>
      <c r="D431" s="7" t="str">
        <f>VLOOKUP(C431,'ACTIVOS CODIGO'!C:D,2,0)</f>
        <v>ACTIVO DE LA HACIENDA = ACTIVO NO CORRIENTE</v>
      </c>
      <c r="E431" s="3">
        <v>2</v>
      </c>
      <c r="F431" s="8" t="str">
        <f>VLOOKUP(E431,'ACTIVOS CODIGO'!E:F,2,0)</f>
        <v>ACTIVO EXIGIBLE</v>
      </c>
      <c r="G431" s="10">
        <v>216</v>
      </c>
      <c r="H431" s="10" t="str">
        <f>VLOOKUP(G431,'PUB 21'!$A$1:$B$29,2,0)</f>
        <v>PROVEEDURIAS Y ALMACENES</v>
      </c>
      <c r="K431" s="18"/>
      <c r="M431" s="27" t="str">
        <f t="shared" si="41"/>
        <v>1-2-2-21-60-00</v>
      </c>
      <c r="N431" s="27" t="str">
        <f t="shared" si="42"/>
        <v>PROVEEDURIAS Y ALMACENES</v>
      </c>
      <c r="O431" s="4">
        <f t="shared" si="39"/>
        <v>40</v>
      </c>
      <c r="P431" s="4" t="s">
        <v>449</v>
      </c>
      <c r="Q431" s="4" t="str">
        <f t="shared" si="40"/>
        <v>1-2-2-21-60-00-040</v>
      </c>
      <c r="R431" s="4" t="str">
        <f t="shared" si="38"/>
        <v>CONS. LOC.PLANIF. PUB.( MAT. DE</v>
      </c>
    </row>
    <row r="432" spans="1:18" ht="23.25" x14ac:dyDescent="0.2">
      <c r="A432" s="1">
        <v>1</v>
      </c>
      <c r="B432" s="6" t="str">
        <f>VLOOKUP(A432,'ACTIVOS CODIGO'!A:B,2,0)</f>
        <v>ACTIVO</v>
      </c>
      <c r="C432" s="2">
        <v>2</v>
      </c>
      <c r="D432" s="7" t="str">
        <f>VLOOKUP(C432,'ACTIVOS CODIGO'!C:D,2,0)</f>
        <v>ACTIVO DE LA HACIENDA = ACTIVO NO CORRIENTE</v>
      </c>
      <c r="E432" s="3">
        <v>2</v>
      </c>
      <c r="F432" s="8" t="str">
        <f>VLOOKUP(E432,'ACTIVOS CODIGO'!E:F,2,0)</f>
        <v>ACTIVO EXIGIBLE</v>
      </c>
      <c r="G432" s="10">
        <v>216</v>
      </c>
      <c r="H432" s="10" t="str">
        <f>VLOOKUP(G432,'PUB 21'!$A$1:$B$29,2,0)</f>
        <v>PROVEEDURIAS Y ALMACENES</v>
      </c>
      <c r="K432" s="18"/>
      <c r="M432" s="27" t="str">
        <f t="shared" si="41"/>
        <v>1-2-2-21-60-00</v>
      </c>
      <c r="N432" s="27" t="str">
        <f t="shared" si="42"/>
        <v>PROVEEDURIAS Y ALMACENES</v>
      </c>
      <c r="O432" s="4">
        <f t="shared" si="39"/>
        <v>41</v>
      </c>
      <c r="P432" s="4" t="s">
        <v>450</v>
      </c>
      <c r="Q432" s="4" t="str">
        <f t="shared" si="40"/>
        <v>1-2-2-21-60-00-041</v>
      </c>
      <c r="R432" s="4" t="str">
        <f t="shared" si="38"/>
        <v>CONS. LOC. PLANIF. PUB.(MAT. DE</v>
      </c>
    </row>
    <row r="433" spans="1:18" ht="23.25" x14ac:dyDescent="0.2">
      <c r="A433" s="1">
        <v>1</v>
      </c>
      <c r="B433" s="6" t="str">
        <f>VLOOKUP(A433,'ACTIVOS CODIGO'!A:B,2,0)</f>
        <v>ACTIVO</v>
      </c>
      <c r="C433" s="2">
        <v>2</v>
      </c>
      <c r="D433" s="7" t="str">
        <f>VLOOKUP(C433,'ACTIVOS CODIGO'!C:D,2,0)</f>
        <v>ACTIVO DE LA HACIENDA = ACTIVO NO CORRIENTE</v>
      </c>
      <c r="E433" s="3">
        <v>2</v>
      </c>
      <c r="F433" s="8" t="str">
        <f>VLOOKUP(E433,'ACTIVOS CODIGO'!E:F,2,0)</f>
        <v>ACTIVO EXIGIBLE</v>
      </c>
      <c r="G433" s="10">
        <v>216</v>
      </c>
      <c r="H433" s="10" t="str">
        <f>VLOOKUP(G433,'PUB 21'!$A$1:$B$29,2,0)</f>
        <v>PROVEEDURIAS Y ALMACENES</v>
      </c>
      <c r="K433" s="18"/>
      <c r="M433" s="27" t="str">
        <f t="shared" si="41"/>
        <v>1-2-2-21-60-00</v>
      </c>
      <c r="N433" s="27" t="str">
        <f t="shared" si="42"/>
        <v>PROVEEDURIAS Y ALMACENES</v>
      </c>
      <c r="O433" s="4">
        <f t="shared" si="39"/>
        <v>42</v>
      </c>
      <c r="P433" s="4" t="s">
        <v>451</v>
      </c>
      <c r="Q433" s="4" t="str">
        <f t="shared" si="40"/>
        <v>1-2-2-21-60-00-042</v>
      </c>
      <c r="R433" s="4" t="str">
        <f t="shared" si="38"/>
        <v>CONS. LOC. PLANIF. PUB. (ALIMENT. Y</v>
      </c>
    </row>
    <row r="434" spans="1:18" ht="23.25" x14ac:dyDescent="0.2">
      <c r="A434" s="1">
        <v>1</v>
      </c>
      <c r="B434" s="6" t="str">
        <f>VLOOKUP(A434,'ACTIVOS CODIGO'!A:B,2,0)</f>
        <v>ACTIVO</v>
      </c>
      <c r="C434" s="2">
        <v>2</v>
      </c>
      <c r="D434" s="7" t="str">
        <f>VLOOKUP(C434,'ACTIVOS CODIGO'!C:D,2,0)</f>
        <v>ACTIVO DE LA HACIENDA = ACTIVO NO CORRIENTE</v>
      </c>
      <c r="E434" s="3">
        <v>2</v>
      </c>
      <c r="F434" s="8" t="str">
        <f>VLOOKUP(E434,'ACTIVOS CODIGO'!E:F,2,0)</f>
        <v>ACTIVO EXIGIBLE</v>
      </c>
      <c r="G434" s="10">
        <v>220</v>
      </c>
      <c r="H434" s="10" t="str">
        <f>VLOOKUP(G434,'PUB 21'!$A$1:$B$29,2,0)</f>
        <v>ING. DE LENTA Y DE DIFICIL RECAUDACION</v>
      </c>
      <c r="K434" s="18"/>
      <c r="L434" s="5"/>
      <c r="M434" s="27" t="str">
        <f t="shared" ref="M434" si="43">CONCATENATE(TEXT(A434,"0"),"-",TEXT(C434,"0"),"-",TEXT(E434,"0"),"-",TEXT(LEFT(G434,2),"00"),"-",TEXT(RIGHT(G434,1),"0"),TEXT(I434,"0"),"-",TEXT(K434,"00"))</f>
        <v>1-2-2-22-00-00</v>
      </c>
      <c r="N434" s="27" t="str">
        <f t="shared" ref="N434" si="44">IF(L434="",IF(J434="",IF(H434="",IF(F434="",IF(D434="",B434,D434),F434),H434),J434),L434)</f>
        <v>ING. DE LENTA Y DE DIFICIL RECAUDACION</v>
      </c>
      <c r="O434" s="4">
        <f t="shared" si="39"/>
        <v>0</v>
      </c>
      <c r="Q434" s="4" t="str">
        <f t="shared" ref="Q434" si="45">CONCATENATE(TEXT(A434,"0"),"-",TEXT(C434,"0"),"-",TEXT(E434,"0"),"-",TEXT(LEFT(G434,2),"00"),"-",TEXT(RIGHT(G434,1),"0"),TEXT(I434,"0"),"-",TEXT(K434,"00"),"-",TEXT(O434,"000"))</f>
        <v>1-2-2-22-00-00-000</v>
      </c>
      <c r="R434" s="4" t="str">
        <f t="shared" si="38"/>
        <v>ING. DE LENTA Y DE DIFICIL RECAUDACION</v>
      </c>
    </row>
    <row r="435" spans="1:18" ht="23.25" x14ac:dyDescent="0.2">
      <c r="A435" s="1">
        <v>1</v>
      </c>
      <c r="B435" s="6" t="str">
        <f>VLOOKUP(A435,'ACTIVOS CODIGO'!A:B,2,0)</f>
        <v>ACTIVO</v>
      </c>
      <c r="C435" s="2">
        <v>2</v>
      </c>
      <c r="D435" s="7" t="str">
        <f>VLOOKUP(C435,'ACTIVOS CODIGO'!C:D,2,0)</f>
        <v>ACTIVO DE LA HACIENDA = ACTIVO NO CORRIENTE</v>
      </c>
      <c r="E435" s="3">
        <v>2</v>
      </c>
      <c r="F435" s="8" t="str">
        <f>VLOOKUP(E435,'ACTIVOS CODIGO'!E:F,2,0)</f>
        <v>ACTIVO EXIGIBLE</v>
      </c>
      <c r="G435" s="10">
        <v>220</v>
      </c>
      <c r="H435" s="10" t="str">
        <f>VLOOKUP(G435,'PUB 21'!$A$1:$B$29,2,0)</f>
        <v>ING. DE LENTA Y DE DIFICIL RECAUDACION</v>
      </c>
      <c r="K435" s="18"/>
      <c r="L435" s="5"/>
      <c r="M435" s="27" t="str">
        <f t="shared" si="41"/>
        <v>1-2-2-22-00-00</v>
      </c>
      <c r="N435" s="27" t="str">
        <f t="shared" si="42"/>
        <v>ING. DE LENTA Y DE DIFICIL RECAUDACION</v>
      </c>
      <c r="O435" s="4">
        <f t="shared" si="39"/>
        <v>1</v>
      </c>
      <c r="P435" s="4" t="s">
        <v>452</v>
      </c>
      <c r="Q435" s="4" t="str">
        <f t="shared" si="40"/>
        <v>1-2-2-22-00-00-001</v>
      </c>
      <c r="R435" s="4" t="str">
        <f t="shared" si="38"/>
        <v>ING. DE LENTA Y DIF. RECAUD.</v>
      </c>
    </row>
    <row r="436" spans="1:18" ht="23.25" x14ac:dyDescent="0.2">
      <c r="A436" s="1">
        <v>1</v>
      </c>
      <c r="B436" s="6" t="str">
        <f>VLOOKUP(A436,'ACTIVOS CODIGO'!A:B,2,0)</f>
        <v>ACTIVO</v>
      </c>
      <c r="C436" s="2">
        <v>2</v>
      </c>
      <c r="D436" s="7" t="str">
        <f>VLOOKUP(C436,'ACTIVOS CODIGO'!C:D,2,0)</f>
        <v>ACTIVO DE LA HACIENDA = ACTIVO NO CORRIENTE</v>
      </c>
      <c r="E436" s="3">
        <v>2</v>
      </c>
      <c r="F436" s="8" t="str">
        <f>VLOOKUP(E436,'ACTIVOS CODIGO'!E:F,2,0)</f>
        <v>ACTIVO EXIGIBLE</v>
      </c>
      <c r="G436" s="10">
        <v>220</v>
      </c>
      <c r="H436" s="10" t="str">
        <f>VLOOKUP(G436,'PUB 21'!$A$1:$B$29,2,0)</f>
        <v>ING. DE LENTA Y DE DIFICIL RECAUDACION</v>
      </c>
      <c r="K436" s="18"/>
      <c r="L436" s="5"/>
      <c r="M436" s="27" t="str">
        <f t="shared" si="41"/>
        <v>1-2-2-22-00-00</v>
      </c>
      <c r="N436" s="27" t="str">
        <f t="shared" si="42"/>
        <v>ING. DE LENTA Y DE DIFICIL RECAUDACION</v>
      </c>
      <c r="O436" s="4">
        <f t="shared" si="39"/>
        <v>2</v>
      </c>
      <c r="P436" s="4" t="s">
        <v>453</v>
      </c>
      <c r="Q436" s="4" t="str">
        <f t="shared" si="40"/>
        <v>1-2-2-22-00-00-002</v>
      </c>
      <c r="R436" s="4" t="str">
        <f t="shared" si="38"/>
        <v>ING. DE RECAUDAR SITUADO 2000</v>
      </c>
    </row>
    <row r="437" spans="1:18" ht="23.25" x14ac:dyDescent="0.2">
      <c r="A437" s="1">
        <v>1</v>
      </c>
      <c r="B437" s="6" t="str">
        <f>VLOOKUP(A437,'ACTIVOS CODIGO'!A:B,2,0)</f>
        <v>ACTIVO</v>
      </c>
      <c r="C437" s="2">
        <v>2</v>
      </c>
      <c r="D437" s="7" t="str">
        <f>VLOOKUP(C437,'ACTIVOS CODIGO'!C:D,2,0)</f>
        <v>ACTIVO DE LA HACIENDA = ACTIVO NO CORRIENTE</v>
      </c>
      <c r="E437" s="3">
        <v>2</v>
      </c>
      <c r="F437" s="8" t="str">
        <f>VLOOKUP(E437,'ACTIVOS CODIGO'!E:F,2,0)</f>
        <v>ACTIVO EXIGIBLE</v>
      </c>
      <c r="G437" s="10">
        <v>220</v>
      </c>
      <c r="H437" s="10" t="str">
        <f>VLOOKUP(G437,'PUB 21'!$A$1:$B$29,2,0)</f>
        <v>ING. DE LENTA Y DE DIFICIL RECAUDACION</v>
      </c>
      <c r="K437" s="18"/>
      <c r="L437" s="5"/>
      <c r="M437" s="27" t="str">
        <f t="shared" si="41"/>
        <v>1-2-2-22-00-00</v>
      </c>
      <c r="N437" s="27" t="str">
        <f t="shared" si="42"/>
        <v>ING. DE LENTA Y DE DIFICIL RECAUDACION</v>
      </c>
      <c r="O437" s="4">
        <f t="shared" si="39"/>
        <v>3</v>
      </c>
      <c r="P437" s="4" t="s">
        <v>454</v>
      </c>
      <c r="Q437" s="4" t="str">
        <f t="shared" si="40"/>
        <v>1-2-2-22-00-00-003</v>
      </c>
      <c r="R437" s="4" t="str">
        <f t="shared" si="38"/>
        <v>ING. X RECAUDAR SERDECO 2004</v>
      </c>
    </row>
    <row r="438" spans="1:18" ht="23.25" x14ac:dyDescent="0.2">
      <c r="A438" s="1">
        <v>1</v>
      </c>
      <c r="B438" s="6" t="str">
        <f>VLOOKUP(A438,'ACTIVOS CODIGO'!A:B,2,0)</f>
        <v>ACTIVO</v>
      </c>
      <c r="C438" s="2">
        <v>2</v>
      </c>
      <c r="D438" s="7" t="str">
        <f>VLOOKUP(C438,'ACTIVOS CODIGO'!C:D,2,0)</f>
        <v>ACTIVO DE LA HACIENDA = ACTIVO NO CORRIENTE</v>
      </c>
      <c r="E438" s="3">
        <v>2</v>
      </c>
      <c r="F438" s="8" t="str">
        <f>VLOOKUP(E438,'ACTIVOS CODIGO'!E:F,2,0)</f>
        <v>ACTIVO EXIGIBLE</v>
      </c>
      <c r="G438" s="10">
        <v>222</v>
      </c>
      <c r="H438" s="10" t="str">
        <f>VLOOKUP(G438,'PUB 21'!$A$1:$B$29,2,0)</f>
        <v>RESPONSABILIDADES FISCALES</v>
      </c>
      <c r="K438" s="18"/>
      <c r="L438" s="5"/>
      <c r="M438" s="27" t="str">
        <f t="shared" si="41"/>
        <v>1-2-2-22-20-00</v>
      </c>
      <c r="N438" s="27" t="str">
        <f t="shared" si="42"/>
        <v>RESPONSABILIDADES FISCALES</v>
      </c>
      <c r="O438" s="4">
        <f t="shared" si="39"/>
        <v>0</v>
      </c>
      <c r="Q438" s="4" t="str">
        <f t="shared" si="40"/>
        <v>1-2-2-22-20-00-000</v>
      </c>
      <c r="R438" s="4" t="str">
        <f t="shared" si="38"/>
        <v>RESPONSABILIDADES FISCALES</v>
      </c>
    </row>
    <row r="439" spans="1:18" ht="23.25" x14ac:dyDescent="0.2">
      <c r="A439" s="1">
        <v>1</v>
      </c>
      <c r="B439" s="6" t="str">
        <f>VLOOKUP(A439,'ACTIVOS CODIGO'!A:B,2,0)</f>
        <v>ACTIVO</v>
      </c>
      <c r="C439" s="2">
        <v>2</v>
      </c>
      <c r="D439" s="7" t="str">
        <f>VLOOKUP(C439,'ACTIVOS CODIGO'!C:D,2,0)</f>
        <v>ACTIVO DE LA HACIENDA = ACTIVO NO CORRIENTE</v>
      </c>
      <c r="E439" s="3">
        <v>2</v>
      </c>
      <c r="F439" s="8" t="str">
        <f>VLOOKUP(E439,'ACTIVOS CODIGO'!E:F,2,0)</f>
        <v>ACTIVO EXIGIBLE</v>
      </c>
      <c r="G439" s="10">
        <v>240</v>
      </c>
      <c r="H439" s="10" t="str">
        <f>VLOOKUP(G439,'PUB 21'!$A$1:$B$29,2,0)</f>
        <v>OTROS ACTIVOS</v>
      </c>
      <c r="K439" s="18"/>
      <c r="L439" s="5"/>
      <c r="M439" s="27" t="str">
        <f t="shared" si="41"/>
        <v>1-2-2-24-00-00</v>
      </c>
      <c r="N439" s="27" t="str">
        <f t="shared" si="42"/>
        <v>OTROS ACTIVOS</v>
      </c>
      <c r="O439" s="4">
        <f t="shared" si="39"/>
        <v>0</v>
      </c>
      <c r="Q439" s="4" t="str">
        <f t="shared" si="40"/>
        <v>1-2-2-24-00-00-000</v>
      </c>
      <c r="R439" s="4" t="str">
        <f t="shared" si="38"/>
        <v>OTROS ACTIVOS</v>
      </c>
    </row>
    <row r="440" spans="1:18" ht="23.25" x14ac:dyDescent="0.2">
      <c r="A440" s="1">
        <v>1</v>
      </c>
      <c r="B440" s="6" t="str">
        <f>VLOOKUP(A440,'ACTIVOS CODIGO'!A:B,2,0)</f>
        <v>ACTIVO</v>
      </c>
      <c r="C440" s="2">
        <v>2</v>
      </c>
      <c r="D440" s="7" t="str">
        <f>VLOOKUP(C440,'ACTIVOS CODIGO'!C:D,2,0)</f>
        <v>ACTIVO DE LA HACIENDA = ACTIVO NO CORRIENTE</v>
      </c>
      <c r="E440" s="3">
        <v>2</v>
      </c>
      <c r="F440" s="8" t="str">
        <f>VLOOKUP(E440,'ACTIVOS CODIGO'!E:F,2,0)</f>
        <v>ACTIVO EXIGIBLE</v>
      </c>
      <c r="G440" s="10">
        <v>240</v>
      </c>
      <c r="H440" s="10" t="str">
        <f>VLOOKUP(G440,'PUB 21'!$A$1:$B$29,2,0)</f>
        <v>OTROS ACTIVOS</v>
      </c>
      <c r="K440" s="18"/>
      <c r="M440" s="27" t="str">
        <f t="shared" si="41"/>
        <v>1-2-2-24-00-00</v>
      </c>
      <c r="N440" s="27" t="str">
        <f t="shared" si="42"/>
        <v>OTROS ACTIVOS</v>
      </c>
      <c r="O440" s="4">
        <f t="shared" si="39"/>
        <v>1</v>
      </c>
      <c r="P440" s="4" t="s">
        <v>455</v>
      </c>
      <c r="Q440" s="4" t="str">
        <f t="shared" si="40"/>
        <v>1-2-2-24-00-00-001</v>
      </c>
      <c r="R440" s="4" t="str">
        <f t="shared" si="38"/>
        <v>FONDOS POR REINTEGRAR</v>
      </c>
    </row>
    <row r="441" spans="1:18" ht="23.25" x14ac:dyDescent="0.2">
      <c r="A441" s="1">
        <v>1</v>
      </c>
      <c r="B441" s="6" t="str">
        <f>VLOOKUP(A441,'ACTIVOS CODIGO'!A:B,2,0)</f>
        <v>ACTIVO</v>
      </c>
      <c r="C441" s="2">
        <v>2</v>
      </c>
      <c r="D441" s="7" t="str">
        <f>VLOOKUP(C441,'ACTIVOS CODIGO'!C:D,2,0)</f>
        <v>ACTIVO DE LA HACIENDA = ACTIVO NO CORRIENTE</v>
      </c>
      <c r="E441" s="3">
        <v>2</v>
      </c>
      <c r="F441" s="8" t="str">
        <f>VLOOKUP(E441,'ACTIVOS CODIGO'!E:F,2,0)</f>
        <v>ACTIVO EXIGIBLE</v>
      </c>
      <c r="G441" s="10">
        <v>240</v>
      </c>
      <c r="H441" s="10" t="str">
        <f>VLOOKUP(G441,'PUB 21'!$A$1:$B$29,2,0)</f>
        <v>OTROS ACTIVOS</v>
      </c>
      <c r="K441" s="18"/>
      <c r="M441" s="27" t="str">
        <f t="shared" si="41"/>
        <v>1-2-2-24-00-00</v>
      </c>
      <c r="N441" s="27" t="str">
        <f t="shared" si="42"/>
        <v>OTROS ACTIVOS</v>
      </c>
      <c r="O441" s="4">
        <f t="shared" ref="O441:O504" si="46">IF(P441="",0,IF(M440=M441,IF(O440="",0,O440)+1,""))</f>
        <v>2</v>
      </c>
      <c r="P441" s="4" t="s">
        <v>456</v>
      </c>
      <c r="Q441" s="4" t="str">
        <f t="shared" si="40"/>
        <v>1-2-2-24-00-00-002</v>
      </c>
      <c r="R441" s="4" t="str">
        <f t="shared" si="38"/>
        <v>INV. EN ENTES DESCENTRALIZADOS</v>
      </c>
    </row>
    <row r="442" spans="1:18" ht="23.25" x14ac:dyDescent="0.2">
      <c r="A442" s="1">
        <v>1</v>
      </c>
      <c r="B442" s="6" t="str">
        <f>VLOOKUP(A442,'ACTIVOS CODIGO'!A:B,2,0)</f>
        <v>ACTIVO</v>
      </c>
      <c r="C442" s="2">
        <v>2</v>
      </c>
      <c r="D442" s="7" t="str">
        <f>VLOOKUP(C442,'ACTIVOS CODIGO'!C:D,2,0)</f>
        <v>ACTIVO DE LA HACIENDA = ACTIVO NO CORRIENTE</v>
      </c>
      <c r="E442" s="3">
        <v>2</v>
      </c>
      <c r="F442" s="8" t="str">
        <f>VLOOKUP(E442,'ACTIVOS CODIGO'!E:F,2,0)</f>
        <v>ACTIVO EXIGIBLE</v>
      </c>
      <c r="G442" s="10">
        <v>240</v>
      </c>
      <c r="H442" s="10" t="str">
        <f>VLOOKUP(G442,'PUB 21'!$A$1:$B$29,2,0)</f>
        <v>OTROS ACTIVOS</v>
      </c>
      <c r="K442" s="18"/>
      <c r="M442" s="27" t="str">
        <f t="shared" si="41"/>
        <v>1-2-2-24-00-00</v>
      </c>
      <c r="N442" s="27" t="str">
        <f t="shared" si="42"/>
        <v>OTROS ACTIVOS</v>
      </c>
      <c r="O442" s="4">
        <f t="shared" si="46"/>
        <v>3</v>
      </c>
      <c r="P442" s="4" t="s">
        <v>457</v>
      </c>
      <c r="Q442" s="4" t="str">
        <f t="shared" si="40"/>
        <v>1-2-2-24-00-00-003</v>
      </c>
      <c r="R442" s="4" t="str">
        <f t="shared" si="38"/>
        <v>OTRAS INVERSIONES</v>
      </c>
    </row>
    <row r="443" spans="1:18" ht="23.25" x14ac:dyDescent="0.2">
      <c r="A443" s="1">
        <v>1</v>
      </c>
      <c r="B443" s="6" t="str">
        <f>VLOOKUP(A443,'ACTIVOS CODIGO'!A:B,2,0)</f>
        <v>ACTIVO</v>
      </c>
      <c r="C443" s="2">
        <v>2</v>
      </c>
      <c r="D443" s="7" t="str">
        <f>VLOOKUP(C443,'ACTIVOS CODIGO'!C:D,2,0)</f>
        <v>ACTIVO DE LA HACIENDA = ACTIVO NO CORRIENTE</v>
      </c>
      <c r="E443" s="3">
        <v>2</v>
      </c>
      <c r="F443" s="8" t="str">
        <f>VLOOKUP(E443,'ACTIVOS CODIGO'!E:F,2,0)</f>
        <v>ACTIVO EXIGIBLE</v>
      </c>
      <c r="G443" s="10">
        <v>240</v>
      </c>
      <c r="H443" s="10" t="str">
        <f>VLOOKUP(G443,'PUB 21'!$A$1:$B$29,2,0)</f>
        <v>OTROS ACTIVOS</v>
      </c>
      <c r="K443" s="18"/>
      <c r="M443" s="27" t="str">
        <f t="shared" si="41"/>
        <v>1-2-2-24-00-00</v>
      </c>
      <c r="N443" s="27" t="str">
        <f t="shared" si="42"/>
        <v>OTROS ACTIVOS</v>
      </c>
      <c r="O443" s="4">
        <f t="shared" si="46"/>
        <v>4</v>
      </c>
      <c r="P443" s="4" t="s">
        <v>458</v>
      </c>
      <c r="Q443" s="4" t="str">
        <f t="shared" si="40"/>
        <v>1-2-2-24-00-00-004</v>
      </c>
      <c r="R443" s="4" t="str">
        <f t="shared" si="38"/>
        <v>FALTANTES BIENES</v>
      </c>
    </row>
    <row r="444" spans="1:18" ht="23.25" x14ac:dyDescent="0.2">
      <c r="A444" s="1">
        <v>1</v>
      </c>
      <c r="B444" s="6" t="str">
        <f>VLOOKUP(A444,'ACTIVOS CODIGO'!A:B,2,0)</f>
        <v>ACTIVO</v>
      </c>
      <c r="C444" s="2">
        <v>2</v>
      </c>
      <c r="D444" s="7" t="str">
        <f>VLOOKUP(C444,'ACTIVOS CODIGO'!C:D,2,0)</f>
        <v>ACTIVO DE LA HACIENDA = ACTIVO NO CORRIENTE</v>
      </c>
      <c r="E444" s="3">
        <v>2</v>
      </c>
      <c r="F444" s="8" t="str">
        <f>VLOOKUP(E444,'ACTIVOS CODIGO'!E:F,2,0)</f>
        <v>ACTIVO EXIGIBLE</v>
      </c>
      <c r="G444" s="10">
        <v>240</v>
      </c>
      <c r="H444" s="10" t="str">
        <f>VLOOKUP(G444,'PUB 21'!$A$1:$B$29,2,0)</f>
        <v>OTROS ACTIVOS</v>
      </c>
      <c r="K444" s="18"/>
      <c r="M444" s="27" t="str">
        <f t="shared" si="41"/>
        <v>1-2-2-24-00-00</v>
      </c>
      <c r="N444" s="27" t="str">
        <f t="shared" si="42"/>
        <v>OTROS ACTIVOS</v>
      </c>
      <c r="O444" s="4">
        <f t="shared" si="46"/>
        <v>5</v>
      </c>
      <c r="P444" s="4" t="s">
        <v>459</v>
      </c>
      <c r="Q444" s="4" t="str">
        <f t="shared" si="40"/>
        <v>1-2-2-24-00-00-005</v>
      </c>
      <c r="R444" s="4" t="str">
        <f t="shared" si="38"/>
        <v>BNES. MBLES. FALTANTES POR INVEST.</v>
      </c>
    </row>
    <row r="445" spans="1:18" ht="23.25" x14ac:dyDescent="0.2">
      <c r="A445" s="1">
        <v>1</v>
      </c>
      <c r="B445" s="6" t="str">
        <f>VLOOKUP(A445,'ACTIVOS CODIGO'!A:B,2,0)</f>
        <v>ACTIVO</v>
      </c>
      <c r="C445" s="2">
        <v>2</v>
      </c>
      <c r="D445" s="7" t="str">
        <f>VLOOKUP(C445,'ACTIVOS CODIGO'!C:D,2,0)</f>
        <v>ACTIVO DE LA HACIENDA = ACTIVO NO CORRIENTE</v>
      </c>
      <c r="E445" s="3">
        <v>2</v>
      </c>
      <c r="F445" s="8" t="str">
        <f>VLOOKUP(E445,'ACTIVOS CODIGO'!E:F,2,0)</f>
        <v>ACTIVO EXIGIBLE</v>
      </c>
      <c r="G445" s="10">
        <v>240</v>
      </c>
      <c r="H445" s="10" t="str">
        <f>VLOOKUP(G445,'PUB 21'!$A$1:$B$29,2,0)</f>
        <v>OTROS ACTIVOS</v>
      </c>
      <c r="K445" s="18"/>
      <c r="M445" s="27" t="str">
        <f t="shared" si="41"/>
        <v>1-2-2-24-00-00</v>
      </c>
      <c r="N445" s="27" t="str">
        <f t="shared" si="42"/>
        <v>OTROS ACTIVOS</v>
      </c>
      <c r="O445" s="4">
        <f t="shared" si="46"/>
        <v>6</v>
      </c>
      <c r="P445" s="4" t="s">
        <v>460</v>
      </c>
      <c r="Q445" s="4" t="str">
        <f t="shared" si="40"/>
        <v>1-2-2-24-00-00-006</v>
      </c>
      <c r="R445" s="4" t="str">
        <f t="shared" si="38"/>
        <v>FALTANTES POR INVESTIGAR 2008</v>
      </c>
    </row>
    <row r="446" spans="1:18" ht="23.25" x14ac:dyDescent="0.2">
      <c r="A446" s="1">
        <v>1</v>
      </c>
      <c r="B446" s="6" t="str">
        <f>VLOOKUP(A446,'ACTIVOS CODIGO'!A:B,2,0)</f>
        <v>ACTIVO</v>
      </c>
      <c r="C446" s="2">
        <v>2</v>
      </c>
      <c r="D446" s="7" t="str">
        <f>VLOOKUP(C446,'ACTIVOS CODIGO'!C:D,2,0)</f>
        <v>ACTIVO DE LA HACIENDA = ACTIVO NO CORRIENTE</v>
      </c>
      <c r="E446" s="3">
        <v>2</v>
      </c>
      <c r="F446" s="8" t="str">
        <f>VLOOKUP(E446,'ACTIVOS CODIGO'!E:F,2,0)</f>
        <v>ACTIVO EXIGIBLE</v>
      </c>
      <c r="G446" s="10">
        <v>240</v>
      </c>
      <c r="H446" s="10" t="str">
        <f>VLOOKUP(G446,'PUB 21'!$A$1:$B$29,2,0)</f>
        <v>OTROS ACTIVOS</v>
      </c>
      <c r="K446" s="18"/>
      <c r="M446" s="27" t="str">
        <f t="shared" si="41"/>
        <v>1-2-2-24-00-00</v>
      </c>
      <c r="N446" s="27" t="str">
        <f t="shared" si="42"/>
        <v>OTROS ACTIVOS</v>
      </c>
      <c r="O446" s="4">
        <f t="shared" si="46"/>
        <v>7</v>
      </c>
      <c r="P446" s="4" t="s">
        <v>461</v>
      </c>
      <c r="Q446" s="4" t="str">
        <f t="shared" si="40"/>
        <v>1-2-2-24-00-00-007</v>
      </c>
      <c r="R446" s="4" t="str">
        <f t="shared" si="38"/>
        <v>FALTANTES IX INVEST. ADMON Y</v>
      </c>
    </row>
    <row r="447" spans="1:18" ht="23.25" x14ac:dyDescent="0.2">
      <c r="A447" s="1">
        <v>1</v>
      </c>
      <c r="B447" s="6" t="str">
        <f>VLOOKUP(A447,'ACTIVOS CODIGO'!A:B,2,0)</f>
        <v>ACTIVO</v>
      </c>
      <c r="C447" s="2">
        <v>2</v>
      </c>
      <c r="D447" s="7" t="str">
        <f>VLOOKUP(C447,'ACTIVOS CODIGO'!C:D,2,0)</f>
        <v>ACTIVO DE LA HACIENDA = ACTIVO NO CORRIENTE</v>
      </c>
      <c r="E447" s="3">
        <v>2</v>
      </c>
      <c r="F447" s="8" t="str">
        <f>VLOOKUP(E447,'ACTIVOS CODIGO'!E:F,2,0)</f>
        <v>ACTIVO EXIGIBLE</v>
      </c>
      <c r="G447" s="10">
        <v>240</v>
      </c>
      <c r="H447" s="10" t="str">
        <f>VLOOKUP(G447,'PUB 21'!$A$1:$B$29,2,0)</f>
        <v>OTROS ACTIVOS</v>
      </c>
      <c r="K447" s="18"/>
      <c r="M447" s="27" t="str">
        <f t="shared" si="41"/>
        <v>1-2-2-24-00-00</v>
      </c>
      <c r="N447" s="27" t="str">
        <f t="shared" si="42"/>
        <v>OTROS ACTIVOS</v>
      </c>
      <c r="O447" s="4">
        <f t="shared" si="46"/>
        <v>8</v>
      </c>
      <c r="P447" s="4" t="s">
        <v>462</v>
      </c>
      <c r="Q447" s="4" t="str">
        <f t="shared" si="40"/>
        <v>1-2-2-24-00-00-008</v>
      </c>
      <c r="R447" s="4" t="str">
        <f t="shared" si="38"/>
        <v>FALTANTE POR INVESTIGAR 2009</v>
      </c>
    </row>
    <row r="448" spans="1:18" ht="23.25" x14ac:dyDescent="0.2">
      <c r="A448" s="1">
        <v>1</v>
      </c>
      <c r="B448" s="6" t="str">
        <f>VLOOKUP(A448,'ACTIVOS CODIGO'!A:B,2,0)</f>
        <v>ACTIVO</v>
      </c>
      <c r="C448" s="2">
        <v>2</v>
      </c>
      <c r="D448" s="7" t="str">
        <f>VLOOKUP(C448,'ACTIVOS CODIGO'!C:D,2,0)</f>
        <v>ACTIVO DE LA HACIENDA = ACTIVO NO CORRIENTE</v>
      </c>
      <c r="E448" s="3">
        <v>2</v>
      </c>
      <c r="F448" s="8" t="str">
        <f>VLOOKUP(E448,'ACTIVOS CODIGO'!E:F,2,0)</f>
        <v>ACTIVO EXIGIBLE</v>
      </c>
      <c r="G448" s="10">
        <v>240</v>
      </c>
      <c r="H448" s="10" t="str">
        <f>VLOOKUP(G448,'PUB 21'!$A$1:$B$29,2,0)</f>
        <v>OTROS ACTIVOS</v>
      </c>
      <c r="K448" s="18"/>
      <c r="M448" s="27" t="str">
        <f t="shared" si="41"/>
        <v>1-2-2-24-00-00</v>
      </c>
      <c r="N448" s="27" t="str">
        <f t="shared" si="42"/>
        <v>OTROS ACTIVOS</v>
      </c>
      <c r="O448" s="4">
        <f t="shared" si="46"/>
        <v>9</v>
      </c>
      <c r="P448" s="4" t="s">
        <v>463</v>
      </c>
      <c r="Q448" s="4" t="str">
        <f t="shared" si="40"/>
        <v>1-2-2-24-00-00-009</v>
      </c>
      <c r="R448" s="4" t="str">
        <f t="shared" si="38"/>
        <v>BCO. CANARIAS 0050053</v>
      </c>
    </row>
    <row r="449" spans="1:18" ht="23.25" x14ac:dyDescent="0.2">
      <c r="A449" s="1">
        <v>1</v>
      </c>
      <c r="B449" s="6" t="str">
        <f>VLOOKUP(A449,'ACTIVOS CODIGO'!A:B,2,0)</f>
        <v>ACTIVO</v>
      </c>
      <c r="C449" s="2">
        <v>2</v>
      </c>
      <c r="D449" s="7" t="str">
        <f>VLOOKUP(C449,'ACTIVOS CODIGO'!C:D,2,0)</f>
        <v>ACTIVO DE LA HACIENDA = ACTIVO NO CORRIENTE</v>
      </c>
      <c r="E449" s="3">
        <v>2</v>
      </c>
      <c r="F449" s="8" t="str">
        <f>VLOOKUP(E449,'ACTIVOS CODIGO'!E:F,2,0)</f>
        <v>ACTIVO EXIGIBLE</v>
      </c>
      <c r="G449" s="10">
        <v>240</v>
      </c>
      <c r="H449" s="10" t="str">
        <f>VLOOKUP(G449,'PUB 21'!$A$1:$B$29,2,0)</f>
        <v>OTROS ACTIVOS</v>
      </c>
      <c r="K449" s="18"/>
      <c r="M449" s="27" t="str">
        <f t="shared" si="41"/>
        <v>1-2-2-24-00-00</v>
      </c>
      <c r="N449" s="27" t="str">
        <f t="shared" si="42"/>
        <v>OTROS ACTIVOS</v>
      </c>
      <c r="O449" s="4">
        <f t="shared" si="46"/>
        <v>10</v>
      </c>
      <c r="P449" s="4" t="s">
        <v>464</v>
      </c>
      <c r="Q449" s="4" t="str">
        <f t="shared" si="40"/>
        <v>1-2-2-24-00-00-010</v>
      </c>
      <c r="R449" s="4" t="str">
        <f t="shared" si="38"/>
        <v>FALTANTES POR INVESTIGAR 2010</v>
      </c>
    </row>
    <row r="450" spans="1:18" ht="23.25" x14ac:dyDescent="0.2">
      <c r="A450" s="1">
        <v>1</v>
      </c>
      <c r="B450" s="6" t="str">
        <f>VLOOKUP(A450,'ACTIVOS CODIGO'!A:B,2,0)</f>
        <v>ACTIVO</v>
      </c>
      <c r="C450" s="2">
        <v>2</v>
      </c>
      <c r="D450" s="7" t="str">
        <f>VLOOKUP(C450,'ACTIVOS CODIGO'!C:D,2,0)</f>
        <v>ACTIVO DE LA HACIENDA = ACTIVO NO CORRIENTE</v>
      </c>
      <c r="E450" s="3">
        <v>2</v>
      </c>
      <c r="F450" s="8" t="str">
        <f>VLOOKUP(E450,'ACTIVOS CODIGO'!E:F,2,0)</f>
        <v>ACTIVO EXIGIBLE</v>
      </c>
      <c r="G450" s="10">
        <v>240</v>
      </c>
      <c r="H450" s="10" t="str">
        <f>VLOOKUP(G450,'PUB 21'!$A$1:$B$29,2,0)</f>
        <v>OTROS ACTIVOS</v>
      </c>
      <c r="K450" s="18"/>
      <c r="M450" s="27" t="str">
        <f t="shared" si="41"/>
        <v>1-2-2-24-00-00</v>
      </c>
      <c r="N450" s="27" t="str">
        <f t="shared" si="42"/>
        <v>OTROS ACTIVOS</v>
      </c>
      <c r="O450" s="4">
        <f t="shared" si="46"/>
        <v>11</v>
      </c>
      <c r="P450" s="4" t="s">
        <v>465</v>
      </c>
      <c r="Q450" s="4" t="str">
        <f t="shared" si="40"/>
        <v>1-2-2-24-00-00-011</v>
      </c>
      <c r="R450" s="4" t="str">
        <f t="shared" si="38"/>
        <v>FALTANTES POR INVESTIGAR 2011</v>
      </c>
    </row>
    <row r="451" spans="1:18" ht="23.25" x14ac:dyDescent="0.2">
      <c r="A451" s="1">
        <v>1</v>
      </c>
      <c r="B451" s="6" t="str">
        <f>VLOOKUP(A451,'ACTIVOS CODIGO'!A:B,2,0)</f>
        <v>ACTIVO</v>
      </c>
      <c r="C451" s="2">
        <v>2</v>
      </c>
      <c r="D451" s="7" t="str">
        <f>VLOOKUP(C451,'ACTIVOS CODIGO'!C:D,2,0)</f>
        <v>ACTIVO DE LA HACIENDA = ACTIVO NO CORRIENTE</v>
      </c>
      <c r="E451" s="3">
        <v>2</v>
      </c>
      <c r="F451" s="8" t="str">
        <f>VLOOKUP(E451,'ACTIVOS CODIGO'!E:F,2,0)</f>
        <v>ACTIVO EXIGIBLE</v>
      </c>
      <c r="G451" s="10">
        <v>240</v>
      </c>
      <c r="H451" s="10" t="str">
        <f>VLOOKUP(G451,'PUB 21'!$A$1:$B$29,2,0)</f>
        <v>OTROS ACTIVOS</v>
      </c>
      <c r="K451" s="18"/>
      <c r="M451" s="27" t="str">
        <f t="shared" si="41"/>
        <v>1-2-2-24-00-00</v>
      </c>
      <c r="N451" s="27" t="str">
        <f t="shared" si="42"/>
        <v>OTROS ACTIVOS</v>
      </c>
      <c r="O451" s="4">
        <f t="shared" si="46"/>
        <v>12</v>
      </c>
      <c r="P451" s="4" t="s">
        <v>466</v>
      </c>
      <c r="Q451" s="4" t="str">
        <f t="shared" si="40"/>
        <v>1-2-2-24-00-00-012</v>
      </c>
      <c r="R451" s="4" t="str">
        <f t="shared" ref="R451:R503" si="47">IF(P451="",IF(L451="",IF(J451="",IF(H451="",IF(F451="",IF(D451="",B451,D451),F451),H451),J451),L451),P451)</f>
        <v>FALTANTES POR INVESTIGAR 2012</v>
      </c>
    </row>
    <row r="452" spans="1:18" ht="23.25" x14ac:dyDescent="0.2">
      <c r="A452" s="1">
        <v>1</v>
      </c>
      <c r="B452" s="6" t="str">
        <f>VLOOKUP(A452,'ACTIVOS CODIGO'!A:B,2,0)</f>
        <v>ACTIVO</v>
      </c>
      <c r="C452" s="2">
        <v>2</v>
      </c>
      <c r="D452" s="7" t="str">
        <f>VLOOKUP(C452,'ACTIVOS CODIGO'!C:D,2,0)</f>
        <v>ACTIVO DE LA HACIENDA = ACTIVO NO CORRIENTE</v>
      </c>
      <c r="E452" s="3">
        <v>2</v>
      </c>
      <c r="F452" s="8" t="str">
        <f>VLOOKUP(E452,'ACTIVOS CODIGO'!E:F,2,0)</f>
        <v>ACTIVO EXIGIBLE</v>
      </c>
      <c r="G452" s="10">
        <v>240</v>
      </c>
      <c r="H452" s="10" t="str">
        <f>VLOOKUP(G452,'PUB 21'!$A$1:$B$29,2,0)</f>
        <v>OTROS ACTIVOS</v>
      </c>
      <c r="K452" s="18"/>
      <c r="M452" s="27" t="str">
        <f t="shared" si="41"/>
        <v>1-2-2-24-00-00</v>
      </c>
      <c r="N452" s="27" t="str">
        <f t="shared" si="42"/>
        <v>OTROS ACTIVOS</v>
      </c>
      <c r="O452" s="4">
        <f t="shared" si="46"/>
        <v>13</v>
      </c>
      <c r="P452" s="4" t="s">
        <v>467</v>
      </c>
      <c r="Q452" s="4" t="str">
        <f t="shared" ref="Q452:Q489" si="48">CONCATENATE(TEXT(A452,"0"),"-",TEXT(C452,"0"),"-",TEXT(E452,"0"),"-",TEXT(LEFT(G452,2),"00"),"-",TEXT(RIGHT(G452,1),"0"),TEXT(I452,"0"),"-",TEXT(K452,"00"),"-",TEXT(O452,"000"))</f>
        <v>1-2-2-24-00-00-013</v>
      </c>
      <c r="R452" s="4" t="str">
        <f t="shared" si="47"/>
        <v>FALTANTE POR INVESTIGAR 2014</v>
      </c>
    </row>
    <row r="453" spans="1:18" ht="23.25" x14ac:dyDescent="0.2">
      <c r="A453" s="1">
        <v>1</v>
      </c>
      <c r="B453" s="6" t="str">
        <f>VLOOKUP(A453,'ACTIVOS CODIGO'!A:B,2,0)</f>
        <v>ACTIVO</v>
      </c>
      <c r="C453" s="2">
        <v>2</v>
      </c>
      <c r="D453" s="7" t="str">
        <f>VLOOKUP(C453,'ACTIVOS CODIGO'!C:D,2,0)</f>
        <v>ACTIVO DE LA HACIENDA = ACTIVO NO CORRIENTE</v>
      </c>
      <c r="E453" s="3">
        <v>2</v>
      </c>
      <c r="F453" s="8" t="str">
        <f>VLOOKUP(E453,'ACTIVOS CODIGO'!E:F,2,0)</f>
        <v>ACTIVO EXIGIBLE</v>
      </c>
      <c r="G453" s="10">
        <v>240</v>
      </c>
      <c r="H453" s="10" t="str">
        <f>VLOOKUP(G453,'PUB 21'!$A$1:$B$29,2,0)</f>
        <v>OTROS ACTIVOS</v>
      </c>
      <c r="K453" s="18"/>
      <c r="M453" s="27" t="str">
        <f t="shared" si="41"/>
        <v>1-2-2-24-00-00</v>
      </c>
      <c r="N453" s="27" t="str">
        <f t="shared" si="42"/>
        <v>OTROS ACTIVOS</v>
      </c>
      <c r="O453" s="4">
        <f t="shared" si="46"/>
        <v>14</v>
      </c>
      <c r="P453" s="4" t="s">
        <v>468</v>
      </c>
      <c r="Q453" s="4" t="str">
        <f t="shared" si="48"/>
        <v>1-2-2-24-00-00-014</v>
      </c>
      <c r="R453" s="4" t="str">
        <f t="shared" si="47"/>
        <v>FALTANTES POR INVESTIGAR 2015</v>
      </c>
    </row>
    <row r="454" spans="1:18" ht="23.25" x14ac:dyDescent="0.2">
      <c r="A454" s="1">
        <v>1</v>
      </c>
      <c r="B454" s="6" t="str">
        <f>VLOOKUP(A454,'ACTIVOS CODIGO'!A:B,2,0)</f>
        <v>ACTIVO</v>
      </c>
      <c r="C454" s="2">
        <v>2</v>
      </c>
      <c r="D454" s="7" t="str">
        <f>VLOOKUP(C454,'ACTIVOS CODIGO'!C:D,2,0)</f>
        <v>ACTIVO DE LA HACIENDA = ACTIVO NO CORRIENTE</v>
      </c>
      <c r="E454" s="3">
        <v>2</v>
      </c>
      <c r="F454" s="8" t="str">
        <f>VLOOKUP(E454,'ACTIVOS CODIGO'!E:F,2,0)</f>
        <v>ACTIVO EXIGIBLE</v>
      </c>
      <c r="G454" s="10">
        <v>240</v>
      </c>
      <c r="H454" s="10" t="str">
        <f>VLOOKUP(G454,'PUB 21'!$A$1:$B$29,2,0)</f>
        <v>OTROS ACTIVOS</v>
      </c>
      <c r="K454" s="18"/>
      <c r="M454" s="27" t="str">
        <f t="shared" si="41"/>
        <v>1-2-2-24-00-00</v>
      </c>
      <c r="N454" s="27" t="str">
        <f t="shared" si="42"/>
        <v>OTROS ACTIVOS</v>
      </c>
      <c r="O454" s="4">
        <f t="shared" si="46"/>
        <v>15</v>
      </c>
      <c r="P454" s="4" t="s">
        <v>469</v>
      </c>
      <c r="Q454" s="4" t="str">
        <f t="shared" si="48"/>
        <v>1-2-2-24-00-00-015</v>
      </c>
      <c r="R454" s="4" t="str">
        <f t="shared" si="47"/>
        <v>FALTANTES POR INVESTIGAR 2016</v>
      </c>
    </row>
    <row r="455" spans="1:18" ht="23.25" x14ac:dyDescent="0.2">
      <c r="A455" s="1">
        <v>1</v>
      </c>
      <c r="B455" s="6" t="str">
        <f>VLOOKUP(A455,'ACTIVOS CODIGO'!A:B,2,0)</f>
        <v>ACTIVO</v>
      </c>
      <c r="C455" s="2">
        <v>2</v>
      </c>
      <c r="D455" s="7" t="str">
        <f>VLOOKUP(C455,'ACTIVOS CODIGO'!C:D,2,0)</f>
        <v>ACTIVO DE LA HACIENDA = ACTIVO NO CORRIENTE</v>
      </c>
      <c r="E455" s="3">
        <v>2</v>
      </c>
      <c r="F455" s="8" t="str">
        <f>VLOOKUP(E455,'ACTIVOS CODIGO'!E:F,2,0)</f>
        <v>ACTIVO EXIGIBLE</v>
      </c>
      <c r="G455" s="10">
        <v>240</v>
      </c>
      <c r="H455" s="10" t="str">
        <f>VLOOKUP(G455,'PUB 21'!$A$1:$B$29,2,0)</f>
        <v>OTROS ACTIVOS</v>
      </c>
      <c r="K455" s="18"/>
      <c r="M455" s="27" t="str">
        <f t="shared" si="41"/>
        <v>1-2-2-24-00-00</v>
      </c>
      <c r="N455" s="27" t="str">
        <f t="shared" si="42"/>
        <v>OTROS ACTIVOS</v>
      </c>
      <c r="O455" s="4">
        <f t="shared" si="46"/>
        <v>16</v>
      </c>
      <c r="P455" s="4" t="s">
        <v>470</v>
      </c>
      <c r="Q455" s="4" t="str">
        <f t="shared" si="48"/>
        <v>1-2-2-24-00-00-016</v>
      </c>
      <c r="R455" s="4" t="str">
        <f t="shared" si="47"/>
        <v>FALTANTES POR INVESTIGAR 2017</v>
      </c>
    </row>
    <row r="456" spans="1:18" ht="23.25" x14ac:dyDescent="0.2">
      <c r="A456" s="1">
        <v>1</v>
      </c>
      <c r="B456" s="6" t="str">
        <f>VLOOKUP(A456,'ACTIVOS CODIGO'!A:B,2,0)</f>
        <v>ACTIVO</v>
      </c>
      <c r="C456" s="2">
        <v>2</v>
      </c>
      <c r="D456" s="7" t="str">
        <f>VLOOKUP(C456,'ACTIVOS CODIGO'!C:D,2,0)</f>
        <v>ACTIVO DE LA HACIENDA = ACTIVO NO CORRIENTE</v>
      </c>
      <c r="E456" s="3">
        <v>2</v>
      </c>
      <c r="F456" s="8" t="str">
        <f>VLOOKUP(E456,'ACTIVOS CODIGO'!E:F,2,0)</f>
        <v>ACTIVO EXIGIBLE</v>
      </c>
      <c r="G456" s="10">
        <v>240</v>
      </c>
      <c r="H456" s="10" t="str">
        <f>VLOOKUP(G456,'PUB 21'!$A$1:$B$29,2,0)</f>
        <v>OTROS ACTIVOS</v>
      </c>
      <c r="K456" s="18"/>
      <c r="M456" s="27" t="str">
        <f t="shared" si="41"/>
        <v>1-2-2-24-00-00</v>
      </c>
      <c r="N456" s="27" t="str">
        <f t="shared" si="42"/>
        <v>OTROS ACTIVOS</v>
      </c>
      <c r="O456" s="4">
        <f t="shared" si="46"/>
        <v>17</v>
      </c>
      <c r="P456" s="4" t="s">
        <v>471</v>
      </c>
      <c r="Q456" s="4" t="str">
        <f t="shared" si="48"/>
        <v>1-2-2-24-00-00-017</v>
      </c>
      <c r="R456" s="4" t="str">
        <f t="shared" si="47"/>
        <v>FALTANTES POR INVESTIGAR 2018</v>
      </c>
    </row>
    <row r="457" spans="1:18" ht="23.25" x14ac:dyDescent="0.2">
      <c r="A457" s="1">
        <v>1</v>
      </c>
      <c r="B457" s="6" t="str">
        <f>VLOOKUP(A457,'ACTIVOS CODIGO'!A:B,2,0)</f>
        <v>ACTIVO</v>
      </c>
      <c r="C457" s="2">
        <v>2</v>
      </c>
      <c r="D457" s="7" t="str">
        <f>VLOOKUP(C457,'ACTIVOS CODIGO'!C:D,2,0)</f>
        <v>ACTIVO DE LA HACIENDA = ACTIVO NO CORRIENTE</v>
      </c>
      <c r="E457" s="3">
        <v>2</v>
      </c>
      <c r="F457" s="8" t="str">
        <f>VLOOKUP(E457,'ACTIVOS CODIGO'!E:F,2,0)</f>
        <v>ACTIVO EXIGIBLE</v>
      </c>
      <c r="G457" s="10">
        <v>240</v>
      </c>
      <c r="H457" s="10" t="str">
        <f>VLOOKUP(G457,'PUB 21'!$A$1:$B$29,2,0)</f>
        <v>OTROS ACTIVOS</v>
      </c>
      <c r="K457" s="18"/>
      <c r="M457" s="27" t="str">
        <f t="shared" si="41"/>
        <v>1-2-2-24-00-00</v>
      </c>
      <c r="N457" s="27" t="str">
        <f t="shared" si="42"/>
        <v>OTROS ACTIVOS</v>
      </c>
      <c r="O457" s="4">
        <f t="shared" si="46"/>
        <v>18</v>
      </c>
      <c r="P457" s="4" t="s">
        <v>472</v>
      </c>
      <c r="Q457" s="4" t="str">
        <f t="shared" si="48"/>
        <v>1-2-2-24-00-00-018</v>
      </c>
      <c r="R457" s="4" t="str">
        <f t="shared" si="47"/>
        <v>FALTANTE POR INVESTIGAR 2019</v>
      </c>
    </row>
    <row r="458" spans="1:18" ht="23.25" x14ac:dyDescent="0.2">
      <c r="A458" s="1">
        <v>1</v>
      </c>
      <c r="B458" s="6" t="str">
        <f>VLOOKUP(A458,'ACTIVOS CODIGO'!A:B,2,0)</f>
        <v>ACTIVO</v>
      </c>
      <c r="C458" s="2">
        <v>2</v>
      </c>
      <c r="D458" s="7" t="str">
        <f>VLOOKUP(C458,'ACTIVOS CODIGO'!C:D,2,0)</f>
        <v>ACTIVO DE LA HACIENDA = ACTIVO NO CORRIENTE</v>
      </c>
      <c r="E458" s="3">
        <v>2</v>
      </c>
      <c r="F458" s="8" t="str">
        <f>VLOOKUP(E458,'ACTIVOS CODIGO'!E:F,2,0)</f>
        <v>ACTIVO EXIGIBLE</v>
      </c>
      <c r="G458" s="10">
        <v>240</v>
      </c>
      <c r="H458" s="10" t="str">
        <f>VLOOKUP(G458,'PUB 21'!$A$1:$B$29,2,0)</f>
        <v>OTROS ACTIVOS</v>
      </c>
      <c r="K458" s="18"/>
      <c r="M458" s="27" t="str">
        <f t="shared" si="41"/>
        <v>1-2-2-24-00-00</v>
      </c>
      <c r="N458" s="27" t="str">
        <f t="shared" si="42"/>
        <v>OTROS ACTIVOS</v>
      </c>
      <c r="O458" s="4">
        <f t="shared" si="46"/>
        <v>19</v>
      </c>
      <c r="P458" s="4" t="s">
        <v>473</v>
      </c>
      <c r="Q458" s="4" t="str">
        <f t="shared" si="48"/>
        <v>1-2-2-24-00-00-019</v>
      </c>
      <c r="R458" s="4" t="str">
        <f t="shared" si="47"/>
        <v>BCO. COMERCIO CTA. 18070229</v>
      </c>
    </row>
    <row r="459" spans="1:18" ht="23.25" x14ac:dyDescent="0.2">
      <c r="A459" s="1">
        <v>1</v>
      </c>
      <c r="B459" s="6" t="str">
        <f>VLOOKUP(A459,'ACTIVOS CODIGO'!A:B,2,0)</f>
        <v>ACTIVO</v>
      </c>
      <c r="C459" s="2">
        <v>2</v>
      </c>
      <c r="D459" s="7" t="str">
        <f>VLOOKUP(C459,'ACTIVOS CODIGO'!C:D,2,0)</f>
        <v>ACTIVO DE LA HACIENDA = ACTIVO NO CORRIENTE</v>
      </c>
      <c r="E459" s="3">
        <v>2</v>
      </c>
      <c r="F459" s="8" t="str">
        <f>VLOOKUP(E459,'ACTIVOS CODIGO'!E:F,2,0)</f>
        <v>ACTIVO EXIGIBLE</v>
      </c>
      <c r="G459" s="10">
        <v>240</v>
      </c>
      <c r="H459" s="10" t="str">
        <f>VLOOKUP(G459,'PUB 21'!$A$1:$B$29,2,0)</f>
        <v>OTROS ACTIVOS</v>
      </c>
      <c r="K459" s="18"/>
      <c r="M459" s="27" t="str">
        <f t="shared" si="41"/>
        <v>1-2-2-24-00-00</v>
      </c>
      <c r="N459" s="27" t="str">
        <f t="shared" si="42"/>
        <v>OTROS ACTIVOS</v>
      </c>
      <c r="O459" s="4">
        <f t="shared" si="46"/>
        <v>20</v>
      </c>
      <c r="P459" s="4" t="s">
        <v>474</v>
      </c>
      <c r="Q459" s="4" t="str">
        <f t="shared" si="48"/>
        <v>1-2-2-24-00-00-020</v>
      </c>
      <c r="R459" s="4" t="str">
        <f t="shared" si="47"/>
        <v>BCO. B.B.D. CTA. 01-807730</v>
      </c>
    </row>
    <row r="460" spans="1:18" ht="23.25" x14ac:dyDescent="0.2">
      <c r="A460" s="1">
        <v>1</v>
      </c>
      <c r="B460" s="6" t="str">
        <f>VLOOKUP(A460,'ACTIVOS CODIGO'!A:B,2,0)</f>
        <v>ACTIVO</v>
      </c>
      <c r="C460" s="2">
        <v>2</v>
      </c>
      <c r="D460" s="7" t="str">
        <f>VLOOKUP(C460,'ACTIVOS CODIGO'!C:D,2,0)</f>
        <v>ACTIVO DE LA HACIENDA = ACTIVO NO CORRIENTE</v>
      </c>
      <c r="E460" s="3">
        <v>2</v>
      </c>
      <c r="F460" s="8" t="str">
        <f>VLOOKUP(E460,'ACTIVOS CODIGO'!E:F,2,0)</f>
        <v>ACTIVO EXIGIBLE</v>
      </c>
      <c r="G460" s="10">
        <v>240</v>
      </c>
      <c r="H460" s="10" t="str">
        <f>VLOOKUP(G460,'PUB 21'!$A$1:$B$29,2,0)</f>
        <v>OTROS ACTIVOS</v>
      </c>
      <c r="K460" s="18"/>
      <c r="M460" s="27" t="str">
        <f t="shared" si="41"/>
        <v>1-2-2-24-00-00</v>
      </c>
      <c r="N460" s="27" t="str">
        <f t="shared" si="42"/>
        <v>OTROS ACTIVOS</v>
      </c>
      <c r="O460" s="4">
        <f t="shared" si="46"/>
        <v>21</v>
      </c>
      <c r="P460" s="4" t="s">
        <v>475</v>
      </c>
      <c r="Q460" s="4" t="str">
        <f t="shared" si="48"/>
        <v>1-2-2-24-00-00-021</v>
      </c>
      <c r="R460" s="4" t="str">
        <f t="shared" si="47"/>
        <v>BCO. B.N.D. No. 807778-1</v>
      </c>
    </row>
    <row r="461" spans="1:18" ht="23.25" x14ac:dyDescent="0.2">
      <c r="A461" s="1">
        <v>1</v>
      </c>
      <c r="B461" s="6" t="str">
        <f>VLOOKUP(A461,'ACTIVOS CODIGO'!A:B,2,0)</f>
        <v>ACTIVO</v>
      </c>
      <c r="C461" s="2">
        <v>2</v>
      </c>
      <c r="D461" s="7" t="str">
        <f>VLOOKUP(C461,'ACTIVOS CODIGO'!C:D,2,0)</f>
        <v>ACTIVO DE LA HACIENDA = ACTIVO NO CORRIENTE</v>
      </c>
      <c r="E461" s="3">
        <v>2</v>
      </c>
      <c r="F461" s="8" t="str">
        <f>VLOOKUP(E461,'ACTIVOS CODIGO'!E:F,2,0)</f>
        <v>ACTIVO EXIGIBLE</v>
      </c>
      <c r="G461" s="10">
        <v>240</v>
      </c>
      <c r="H461" s="10" t="str">
        <f>VLOOKUP(G461,'PUB 21'!$A$1:$B$29,2,0)</f>
        <v>OTROS ACTIVOS</v>
      </c>
      <c r="K461" s="18"/>
      <c r="M461" s="27" t="str">
        <f t="shared" si="41"/>
        <v>1-2-2-24-00-00</v>
      </c>
      <c r="N461" s="27" t="str">
        <f t="shared" si="42"/>
        <v>OTROS ACTIVOS</v>
      </c>
      <c r="O461" s="4">
        <f t="shared" si="46"/>
        <v>22</v>
      </c>
      <c r="P461" s="4" t="s">
        <v>476</v>
      </c>
      <c r="Q461" s="4" t="str">
        <f t="shared" si="48"/>
        <v>1-2-2-24-00-00-022</v>
      </c>
      <c r="R461" s="4" t="str">
        <f t="shared" si="47"/>
        <v>BCO. B.T.V. No. 001008789-7</v>
      </c>
    </row>
    <row r="462" spans="1:18" ht="23.25" x14ac:dyDescent="0.2">
      <c r="A462" s="1">
        <v>1</v>
      </c>
      <c r="B462" s="6" t="str">
        <f>VLOOKUP(A462,'ACTIVOS CODIGO'!A:B,2,0)</f>
        <v>ACTIVO</v>
      </c>
      <c r="C462" s="2">
        <v>2</v>
      </c>
      <c r="D462" s="7" t="str">
        <f>VLOOKUP(C462,'ACTIVOS CODIGO'!C:D,2,0)</f>
        <v>ACTIVO DE LA HACIENDA = ACTIVO NO CORRIENTE</v>
      </c>
      <c r="E462" s="3">
        <v>2</v>
      </c>
      <c r="F462" s="8" t="str">
        <f>VLOOKUP(E462,'ACTIVOS CODIGO'!E:F,2,0)</f>
        <v>ACTIVO EXIGIBLE</v>
      </c>
      <c r="G462" s="10">
        <v>240</v>
      </c>
      <c r="H462" s="10" t="str">
        <f>VLOOKUP(G462,'PUB 21'!$A$1:$B$29,2,0)</f>
        <v>OTROS ACTIVOS</v>
      </c>
      <c r="K462" s="18"/>
      <c r="M462" s="27" t="str">
        <f t="shared" si="41"/>
        <v>1-2-2-24-00-00</v>
      </c>
      <c r="N462" s="27" t="str">
        <f t="shared" si="42"/>
        <v>OTROS ACTIVOS</v>
      </c>
      <c r="O462" s="4">
        <f t="shared" si="46"/>
        <v>23</v>
      </c>
      <c r="P462" s="4" t="s">
        <v>477</v>
      </c>
      <c r="Q462" s="4" t="str">
        <f t="shared" si="48"/>
        <v>1-2-2-24-00-00-023</v>
      </c>
      <c r="R462" s="4" t="str">
        <f t="shared" si="47"/>
        <v>BCO. B.T.V. No. 001-0044675-0</v>
      </c>
    </row>
    <row r="463" spans="1:18" ht="23.25" x14ac:dyDescent="0.2">
      <c r="A463" s="1">
        <v>1</v>
      </c>
      <c r="B463" s="6" t="str">
        <f>VLOOKUP(A463,'ACTIVOS CODIGO'!A:B,2,0)</f>
        <v>ACTIVO</v>
      </c>
      <c r="C463" s="2">
        <v>2</v>
      </c>
      <c r="D463" s="7" t="str">
        <f>VLOOKUP(C463,'ACTIVOS CODIGO'!C:D,2,0)</f>
        <v>ACTIVO DE LA HACIENDA = ACTIVO NO CORRIENTE</v>
      </c>
      <c r="E463" s="3">
        <v>2</v>
      </c>
      <c r="F463" s="8" t="str">
        <f>VLOOKUP(E463,'ACTIVOS CODIGO'!E:F,2,0)</f>
        <v>ACTIVO EXIGIBLE</v>
      </c>
      <c r="G463" s="10">
        <v>240</v>
      </c>
      <c r="H463" s="10" t="str">
        <f>VLOOKUP(G463,'PUB 21'!$A$1:$B$29,2,0)</f>
        <v>OTROS ACTIVOS</v>
      </c>
      <c r="K463" s="18"/>
      <c r="M463" s="27" t="str">
        <f t="shared" si="41"/>
        <v>1-2-2-24-00-00</v>
      </c>
      <c r="N463" s="27" t="str">
        <f t="shared" si="42"/>
        <v>OTROS ACTIVOS</v>
      </c>
      <c r="O463" s="4">
        <f t="shared" si="46"/>
        <v>24</v>
      </c>
      <c r="P463" s="4" t="s">
        <v>478</v>
      </c>
      <c r="Q463" s="4" t="str">
        <f t="shared" si="48"/>
        <v>1-2-2-24-00-00-024</v>
      </c>
      <c r="R463" s="4" t="str">
        <f t="shared" si="47"/>
        <v>BCO. B.T.V. No. 001-07324-3</v>
      </c>
    </row>
    <row r="464" spans="1:18" ht="23.25" x14ac:dyDescent="0.2">
      <c r="A464" s="1">
        <v>1</v>
      </c>
      <c r="B464" s="6" t="str">
        <f>VLOOKUP(A464,'ACTIVOS CODIGO'!A:B,2,0)</f>
        <v>ACTIVO</v>
      </c>
      <c r="C464" s="2">
        <v>2</v>
      </c>
      <c r="D464" s="7" t="str">
        <f>VLOOKUP(C464,'ACTIVOS CODIGO'!C:D,2,0)</f>
        <v>ACTIVO DE LA HACIENDA = ACTIVO NO CORRIENTE</v>
      </c>
      <c r="E464" s="3">
        <v>2</v>
      </c>
      <c r="F464" s="8" t="str">
        <f>VLOOKUP(E464,'ACTIVOS CODIGO'!E:F,2,0)</f>
        <v>ACTIVO EXIGIBLE</v>
      </c>
      <c r="G464" s="10">
        <v>240</v>
      </c>
      <c r="H464" s="10" t="str">
        <f>VLOOKUP(G464,'PUB 21'!$A$1:$B$29,2,0)</f>
        <v>OTROS ACTIVOS</v>
      </c>
      <c r="K464" s="18"/>
      <c r="M464" s="27" t="str">
        <f t="shared" si="41"/>
        <v>1-2-2-24-00-00</v>
      </c>
      <c r="N464" s="27" t="str">
        <f t="shared" si="42"/>
        <v>OTROS ACTIVOS</v>
      </c>
      <c r="O464" s="4">
        <f t="shared" si="46"/>
        <v>25</v>
      </c>
      <c r="P464" s="4" t="s">
        <v>479</v>
      </c>
      <c r="Q464" s="4" t="str">
        <f t="shared" si="48"/>
        <v>1-2-2-24-00-00-025</v>
      </c>
      <c r="R464" s="4" t="str">
        <f t="shared" si="47"/>
        <v>CONSTRUCCION 01-57720-4</v>
      </c>
    </row>
    <row r="465" spans="1:18" ht="23.25" x14ac:dyDescent="0.2">
      <c r="A465" s="1">
        <v>1</v>
      </c>
      <c r="B465" s="6" t="str">
        <f>VLOOKUP(A465,'ACTIVOS CODIGO'!A:B,2,0)</f>
        <v>ACTIVO</v>
      </c>
      <c r="C465" s="2">
        <v>2</v>
      </c>
      <c r="D465" s="7" t="str">
        <f>VLOOKUP(C465,'ACTIVOS CODIGO'!C:D,2,0)</f>
        <v>ACTIVO DE LA HACIENDA = ACTIVO NO CORRIENTE</v>
      </c>
      <c r="E465" s="3">
        <v>2</v>
      </c>
      <c r="F465" s="8" t="str">
        <f>VLOOKUP(E465,'ACTIVOS CODIGO'!E:F,2,0)</f>
        <v>ACTIVO EXIGIBLE</v>
      </c>
      <c r="G465" s="10">
        <v>240</v>
      </c>
      <c r="H465" s="10" t="str">
        <f>VLOOKUP(G465,'PUB 21'!$A$1:$B$29,2,0)</f>
        <v>OTROS ACTIVOS</v>
      </c>
      <c r="K465" s="18"/>
      <c r="M465" s="27" t="str">
        <f t="shared" si="41"/>
        <v>1-2-2-24-00-00</v>
      </c>
      <c r="N465" s="27" t="str">
        <f t="shared" si="42"/>
        <v>OTROS ACTIVOS</v>
      </c>
      <c r="O465" s="4">
        <f t="shared" si="46"/>
        <v>26</v>
      </c>
      <c r="P465" s="4" t="s">
        <v>480</v>
      </c>
      <c r="Q465" s="4" t="str">
        <f t="shared" si="48"/>
        <v>1-2-2-24-00-00-026</v>
      </c>
      <c r="R465" s="4" t="str">
        <f t="shared" si="47"/>
        <v>CONSTRUCCION 01-00121-3</v>
      </c>
    </row>
    <row r="466" spans="1:18" ht="23.25" x14ac:dyDescent="0.2">
      <c r="A466" s="1">
        <v>1</v>
      </c>
      <c r="B466" s="6" t="str">
        <f>VLOOKUP(A466,'ACTIVOS CODIGO'!A:B,2,0)</f>
        <v>ACTIVO</v>
      </c>
      <c r="C466" s="2">
        <v>2</v>
      </c>
      <c r="D466" s="7" t="str">
        <f>VLOOKUP(C466,'ACTIVOS CODIGO'!C:D,2,0)</f>
        <v>ACTIVO DE LA HACIENDA = ACTIVO NO CORRIENTE</v>
      </c>
      <c r="E466" s="3">
        <v>2</v>
      </c>
      <c r="F466" s="8" t="str">
        <f>VLOOKUP(E466,'ACTIVOS CODIGO'!E:F,2,0)</f>
        <v>ACTIVO EXIGIBLE</v>
      </c>
      <c r="G466" s="10">
        <v>240</v>
      </c>
      <c r="H466" s="10" t="str">
        <f>VLOOKUP(G466,'PUB 21'!$A$1:$B$29,2,0)</f>
        <v>OTROS ACTIVOS</v>
      </c>
      <c r="K466" s="18"/>
      <c r="M466" s="27" t="str">
        <f t="shared" si="41"/>
        <v>1-2-2-24-00-00</v>
      </c>
      <c r="N466" s="27" t="str">
        <f t="shared" si="42"/>
        <v>OTROS ACTIVOS</v>
      </c>
      <c r="O466" s="4">
        <f t="shared" si="46"/>
        <v>27</v>
      </c>
      <c r="P466" s="4" t="s">
        <v>481</v>
      </c>
      <c r="Q466" s="4" t="str">
        <f t="shared" si="48"/>
        <v>1-2-2-24-00-00-027</v>
      </c>
      <c r="R466" s="4" t="str">
        <f t="shared" si="47"/>
        <v>CONSTRUCCION 01-71941-6</v>
      </c>
    </row>
    <row r="467" spans="1:18" ht="23.25" x14ac:dyDescent="0.2">
      <c r="A467" s="1">
        <v>1</v>
      </c>
      <c r="B467" s="6" t="str">
        <f>VLOOKUP(A467,'ACTIVOS CODIGO'!A:B,2,0)</f>
        <v>ACTIVO</v>
      </c>
      <c r="C467" s="2">
        <v>2</v>
      </c>
      <c r="D467" s="7" t="str">
        <f>VLOOKUP(C467,'ACTIVOS CODIGO'!C:D,2,0)</f>
        <v>ACTIVO DE LA HACIENDA = ACTIVO NO CORRIENTE</v>
      </c>
      <c r="E467" s="3">
        <v>2</v>
      </c>
      <c r="F467" s="8" t="str">
        <f>VLOOKUP(E467,'ACTIVOS CODIGO'!E:F,2,0)</f>
        <v>ACTIVO EXIGIBLE</v>
      </c>
      <c r="G467" s="10">
        <v>240</v>
      </c>
      <c r="H467" s="10" t="str">
        <f>VLOOKUP(G467,'PUB 21'!$A$1:$B$29,2,0)</f>
        <v>OTROS ACTIVOS</v>
      </c>
      <c r="K467" s="18"/>
      <c r="M467" s="27" t="str">
        <f t="shared" si="41"/>
        <v>1-2-2-24-00-00</v>
      </c>
      <c r="N467" s="27" t="str">
        <f t="shared" si="42"/>
        <v>OTROS ACTIVOS</v>
      </c>
      <c r="O467" s="4">
        <f t="shared" si="46"/>
        <v>28</v>
      </c>
      <c r="P467" s="4" t="s">
        <v>482</v>
      </c>
      <c r="Q467" s="4" t="str">
        <f t="shared" si="48"/>
        <v>1-2-2-24-00-00-028</v>
      </c>
      <c r="R467" s="4" t="str">
        <f t="shared" si="47"/>
        <v>CANARIAS DE VZLA. 002-100055-6</v>
      </c>
    </row>
    <row r="468" spans="1:18" ht="23.25" x14ac:dyDescent="0.2">
      <c r="A468" s="1">
        <v>1</v>
      </c>
      <c r="B468" s="6" t="str">
        <f>VLOOKUP(A468,'ACTIVOS CODIGO'!A:B,2,0)</f>
        <v>ACTIVO</v>
      </c>
      <c r="C468" s="2">
        <v>2</v>
      </c>
      <c r="D468" s="7" t="str">
        <f>VLOOKUP(C468,'ACTIVOS CODIGO'!C:D,2,0)</f>
        <v>ACTIVO DE LA HACIENDA = ACTIVO NO CORRIENTE</v>
      </c>
      <c r="E468" s="3">
        <v>2</v>
      </c>
      <c r="F468" s="8" t="str">
        <f>VLOOKUP(E468,'ACTIVOS CODIGO'!E:F,2,0)</f>
        <v>ACTIVO EXIGIBLE</v>
      </c>
      <c r="G468" s="10">
        <v>240</v>
      </c>
      <c r="H468" s="10" t="str">
        <f>VLOOKUP(G468,'PUB 21'!$A$1:$B$29,2,0)</f>
        <v>OTROS ACTIVOS</v>
      </c>
      <c r="K468" s="18"/>
      <c r="M468" s="27" t="str">
        <f t="shared" si="41"/>
        <v>1-2-2-24-00-00</v>
      </c>
      <c r="N468" s="27" t="str">
        <f t="shared" si="42"/>
        <v>OTROS ACTIVOS</v>
      </c>
      <c r="O468" s="4">
        <f t="shared" si="46"/>
        <v>29</v>
      </c>
      <c r="P468" s="4" t="s">
        <v>483</v>
      </c>
      <c r="Q468" s="4" t="str">
        <f t="shared" si="48"/>
        <v>1-2-2-24-00-00-029</v>
      </c>
      <c r="R468" s="4" t="str">
        <f t="shared" si="47"/>
        <v>OTROS ACTIVOS G.D.F.</v>
      </c>
    </row>
    <row r="469" spans="1:18" ht="23.25" x14ac:dyDescent="0.2">
      <c r="A469" s="1">
        <v>1</v>
      </c>
      <c r="B469" s="6" t="str">
        <f>VLOOKUP(A469,'ACTIVOS CODIGO'!A:B,2,0)</f>
        <v>ACTIVO</v>
      </c>
      <c r="C469" s="2">
        <v>2</v>
      </c>
      <c r="D469" s="7" t="str">
        <f>VLOOKUP(C469,'ACTIVOS CODIGO'!C:D,2,0)</f>
        <v>ACTIVO DE LA HACIENDA = ACTIVO NO CORRIENTE</v>
      </c>
      <c r="E469" s="3">
        <v>2</v>
      </c>
      <c r="F469" s="8" t="str">
        <f>VLOOKUP(E469,'ACTIVOS CODIGO'!E:F,2,0)</f>
        <v>ACTIVO EXIGIBLE</v>
      </c>
      <c r="G469" s="10">
        <v>240</v>
      </c>
      <c r="H469" s="10" t="str">
        <f>VLOOKUP(G469,'PUB 21'!$A$1:$B$29,2,0)</f>
        <v>OTROS ACTIVOS</v>
      </c>
      <c r="K469" s="18"/>
      <c r="M469" s="27" t="str">
        <f t="shared" si="41"/>
        <v>1-2-2-24-00-00</v>
      </c>
      <c r="N469" s="27" t="str">
        <f t="shared" si="42"/>
        <v>OTROS ACTIVOS</v>
      </c>
      <c r="O469" s="4">
        <f t="shared" si="46"/>
        <v>30</v>
      </c>
      <c r="P469" s="4" t="s">
        <v>484</v>
      </c>
      <c r="Q469" s="4" t="str">
        <f t="shared" si="48"/>
        <v>1-2-2-24-00-00-030</v>
      </c>
      <c r="R469" s="4" t="str">
        <f t="shared" si="47"/>
        <v>LA GUAIRA 00-20323-9</v>
      </c>
    </row>
    <row r="470" spans="1:18" ht="23.25" x14ac:dyDescent="0.2">
      <c r="A470" s="1">
        <v>1</v>
      </c>
      <c r="B470" s="6" t="str">
        <f>VLOOKUP(A470,'ACTIVOS CODIGO'!A:B,2,0)</f>
        <v>ACTIVO</v>
      </c>
      <c r="C470" s="2">
        <v>2</v>
      </c>
      <c r="D470" s="7" t="str">
        <f>VLOOKUP(C470,'ACTIVOS CODIGO'!C:D,2,0)</f>
        <v>ACTIVO DE LA HACIENDA = ACTIVO NO CORRIENTE</v>
      </c>
      <c r="E470" s="3">
        <v>2</v>
      </c>
      <c r="F470" s="8" t="str">
        <f>VLOOKUP(E470,'ACTIVOS CODIGO'!E:F,2,0)</f>
        <v>ACTIVO EXIGIBLE</v>
      </c>
      <c r="G470" s="10">
        <v>240</v>
      </c>
      <c r="H470" s="10" t="str">
        <f>VLOOKUP(G470,'PUB 21'!$A$1:$B$29,2,0)</f>
        <v>OTROS ACTIVOS</v>
      </c>
      <c r="K470" s="18"/>
      <c r="M470" s="27" t="str">
        <f t="shared" si="41"/>
        <v>1-2-2-24-00-00</v>
      </c>
      <c r="N470" s="27" t="str">
        <f t="shared" si="42"/>
        <v>OTROS ACTIVOS</v>
      </c>
      <c r="O470" s="4">
        <f t="shared" si="46"/>
        <v>31</v>
      </c>
      <c r="P470" s="4" t="s">
        <v>485</v>
      </c>
      <c r="Q470" s="4" t="str">
        <f t="shared" si="48"/>
        <v>1-2-2-24-00-00-031</v>
      </c>
      <c r="R470" s="4" t="str">
        <f t="shared" si="47"/>
        <v>LA GUAIRA 00-15557-8</v>
      </c>
    </row>
    <row r="471" spans="1:18" ht="23.25" x14ac:dyDescent="0.2">
      <c r="A471" s="1">
        <v>1</v>
      </c>
      <c r="B471" s="6" t="str">
        <f>VLOOKUP(A471,'ACTIVOS CODIGO'!A:B,2,0)</f>
        <v>ACTIVO</v>
      </c>
      <c r="C471" s="2">
        <v>2</v>
      </c>
      <c r="D471" s="7" t="str">
        <f>VLOOKUP(C471,'ACTIVOS CODIGO'!C:D,2,0)</f>
        <v>ACTIVO DE LA HACIENDA = ACTIVO NO CORRIENTE</v>
      </c>
      <c r="E471" s="3">
        <v>2</v>
      </c>
      <c r="F471" s="8" t="str">
        <f>VLOOKUP(E471,'ACTIVOS CODIGO'!E:F,2,0)</f>
        <v>ACTIVO EXIGIBLE</v>
      </c>
      <c r="G471" s="10">
        <v>240</v>
      </c>
      <c r="H471" s="10" t="str">
        <f>VLOOKUP(G471,'PUB 21'!$A$1:$B$29,2,0)</f>
        <v>OTROS ACTIVOS</v>
      </c>
      <c r="K471" s="18"/>
      <c r="M471" s="27" t="str">
        <f t="shared" si="41"/>
        <v>1-2-2-24-00-00</v>
      </c>
      <c r="N471" s="27" t="str">
        <f t="shared" si="42"/>
        <v>OTROS ACTIVOS</v>
      </c>
      <c r="O471" s="4">
        <f t="shared" si="46"/>
        <v>32</v>
      </c>
      <c r="P471" s="4" t="s">
        <v>486</v>
      </c>
      <c r="Q471" s="4" t="str">
        <f t="shared" si="48"/>
        <v>1-2-2-24-00-00-032</v>
      </c>
      <c r="R471" s="4" t="str">
        <f t="shared" si="47"/>
        <v>LATINO 01-039992-4</v>
      </c>
    </row>
    <row r="472" spans="1:18" ht="23.25" x14ac:dyDescent="0.2">
      <c r="A472" s="1">
        <v>1</v>
      </c>
      <c r="B472" s="6" t="str">
        <f>VLOOKUP(A472,'ACTIVOS CODIGO'!A:B,2,0)</f>
        <v>ACTIVO</v>
      </c>
      <c r="C472" s="2">
        <v>2</v>
      </c>
      <c r="D472" s="7" t="str">
        <f>VLOOKUP(C472,'ACTIVOS CODIGO'!C:D,2,0)</f>
        <v>ACTIVO DE LA HACIENDA = ACTIVO NO CORRIENTE</v>
      </c>
      <c r="E472" s="3">
        <v>2</v>
      </c>
      <c r="F472" s="8" t="str">
        <f>VLOOKUP(E472,'ACTIVOS CODIGO'!E:F,2,0)</f>
        <v>ACTIVO EXIGIBLE</v>
      </c>
      <c r="G472" s="10">
        <v>240</v>
      </c>
      <c r="H472" s="10" t="str">
        <f>VLOOKUP(G472,'PUB 21'!$A$1:$B$29,2,0)</f>
        <v>OTROS ACTIVOS</v>
      </c>
      <c r="K472" s="18"/>
      <c r="M472" s="27" t="str">
        <f t="shared" ref="M472:M547" si="49">CONCATENATE(TEXT(A472,"0"),"-",TEXT(C472,"0"),"-",TEXT(E472,"0"),"-",TEXT(LEFT(G472,2),"00"),"-",TEXT(RIGHT(G472,1),"0"),TEXT(I472,"0"),"-",TEXT(K472,"00"))</f>
        <v>1-2-2-24-00-00</v>
      </c>
      <c r="N472" s="27" t="str">
        <f t="shared" ref="N472:N547" si="50">IF(L472="",IF(J472="",IF(H472="",IF(F472="",IF(D472="",B472,D472),F472),H472),J472),L472)</f>
        <v>OTROS ACTIVOS</v>
      </c>
      <c r="O472" s="4">
        <f t="shared" si="46"/>
        <v>33</v>
      </c>
      <c r="P472" s="4" t="s">
        <v>487</v>
      </c>
      <c r="Q472" s="4" t="str">
        <f t="shared" si="48"/>
        <v>1-2-2-24-00-00-033</v>
      </c>
      <c r="R472" s="4" t="str">
        <f t="shared" si="47"/>
        <v>I.M.C.P 001-00590-1</v>
      </c>
    </row>
    <row r="473" spans="1:18" ht="23.25" x14ac:dyDescent="0.2">
      <c r="A473" s="1">
        <v>1</v>
      </c>
      <c r="B473" s="6" t="str">
        <f>VLOOKUP(A473,'ACTIVOS CODIGO'!A:B,2,0)</f>
        <v>ACTIVO</v>
      </c>
      <c r="C473" s="2">
        <v>2</v>
      </c>
      <c r="D473" s="7" t="str">
        <f>VLOOKUP(C473,'ACTIVOS CODIGO'!C:D,2,0)</f>
        <v>ACTIVO DE LA HACIENDA = ACTIVO NO CORRIENTE</v>
      </c>
      <c r="E473" s="3">
        <v>2</v>
      </c>
      <c r="F473" s="8" t="str">
        <f>VLOOKUP(E473,'ACTIVOS CODIGO'!E:F,2,0)</f>
        <v>ACTIVO EXIGIBLE</v>
      </c>
      <c r="G473" s="10">
        <v>240</v>
      </c>
      <c r="H473" s="10" t="str">
        <f>VLOOKUP(G473,'PUB 21'!$A$1:$B$29,2,0)</f>
        <v>OTROS ACTIVOS</v>
      </c>
      <c r="K473" s="18"/>
      <c r="M473" s="27" t="str">
        <f t="shared" si="49"/>
        <v>1-2-2-24-00-00</v>
      </c>
      <c r="N473" s="27" t="str">
        <f t="shared" si="50"/>
        <v>OTROS ACTIVOS</v>
      </c>
      <c r="O473" s="4">
        <f t="shared" si="46"/>
        <v>34</v>
      </c>
      <c r="P473" s="4" t="s">
        <v>488</v>
      </c>
      <c r="Q473" s="4" t="str">
        <f t="shared" si="48"/>
        <v>1-2-2-24-00-00-034</v>
      </c>
      <c r="R473" s="4" t="str">
        <f t="shared" si="47"/>
        <v>I.M.C.P 001--00353-4</v>
      </c>
    </row>
    <row r="474" spans="1:18" ht="23.25" x14ac:dyDescent="0.2">
      <c r="A474" s="1">
        <v>1</v>
      </c>
      <c r="B474" s="6" t="str">
        <f>VLOOKUP(A474,'ACTIVOS CODIGO'!A:B,2,0)</f>
        <v>ACTIVO</v>
      </c>
      <c r="C474" s="2">
        <v>2</v>
      </c>
      <c r="D474" s="7" t="str">
        <f>VLOOKUP(C474,'ACTIVOS CODIGO'!C:D,2,0)</f>
        <v>ACTIVO DE LA HACIENDA = ACTIVO NO CORRIENTE</v>
      </c>
      <c r="E474" s="3">
        <v>2</v>
      </c>
      <c r="F474" s="8" t="str">
        <f>VLOOKUP(E474,'ACTIVOS CODIGO'!E:F,2,0)</f>
        <v>ACTIVO EXIGIBLE</v>
      </c>
      <c r="G474" s="10">
        <v>240</v>
      </c>
      <c r="H474" s="10" t="str">
        <f>VLOOKUP(G474,'PUB 21'!$A$1:$B$29,2,0)</f>
        <v>OTROS ACTIVOS</v>
      </c>
      <c r="K474" s="18"/>
      <c r="M474" s="27" t="str">
        <f t="shared" si="49"/>
        <v>1-2-2-24-00-00</v>
      </c>
      <c r="N474" s="27" t="str">
        <f t="shared" si="50"/>
        <v>OTROS ACTIVOS</v>
      </c>
      <c r="O474" s="4">
        <f t="shared" si="46"/>
        <v>35</v>
      </c>
      <c r="P474" s="4" t="s">
        <v>489</v>
      </c>
      <c r="Q474" s="4" t="str">
        <f t="shared" si="48"/>
        <v>1-2-2-24-00-00-035</v>
      </c>
      <c r="R474" s="4" t="str">
        <f t="shared" si="47"/>
        <v>METROPOLITANO 001-00689-6</v>
      </c>
    </row>
    <row r="475" spans="1:18" ht="23.25" x14ac:dyDescent="0.2">
      <c r="A475" s="1">
        <v>1</v>
      </c>
      <c r="B475" s="6" t="str">
        <f>VLOOKUP(A475,'ACTIVOS CODIGO'!A:B,2,0)</f>
        <v>ACTIVO</v>
      </c>
      <c r="C475" s="2">
        <v>2</v>
      </c>
      <c r="D475" s="7" t="str">
        <f>VLOOKUP(C475,'ACTIVOS CODIGO'!C:D,2,0)</f>
        <v>ACTIVO DE LA HACIENDA = ACTIVO NO CORRIENTE</v>
      </c>
      <c r="E475" s="3">
        <v>2</v>
      </c>
      <c r="F475" s="8" t="str">
        <f>VLOOKUP(E475,'ACTIVOS CODIGO'!E:F,2,0)</f>
        <v>ACTIVO EXIGIBLE</v>
      </c>
      <c r="G475" s="10">
        <v>240</v>
      </c>
      <c r="H475" s="10" t="str">
        <f>VLOOKUP(G475,'PUB 21'!$A$1:$B$29,2,0)</f>
        <v>OTROS ACTIVOS</v>
      </c>
      <c r="K475" s="18"/>
      <c r="M475" s="27" t="str">
        <f t="shared" si="49"/>
        <v>1-2-2-24-00-00</v>
      </c>
      <c r="N475" s="27" t="str">
        <f t="shared" si="50"/>
        <v>OTROS ACTIVOS</v>
      </c>
      <c r="O475" s="4">
        <f t="shared" si="46"/>
        <v>36</v>
      </c>
      <c r="P475" s="4" t="s">
        <v>490</v>
      </c>
      <c r="Q475" s="4" t="str">
        <f t="shared" si="48"/>
        <v>1-2-2-24-00-00-036</v>
      </c>
      <c r="R475" s="4" t="str">
        <f t="shared" si="47"/>
        <v>METROPOLITANO 001-04211-4</v>
      </c>
    </row>
    <row r="476" spans="1:18" ht="23.25" x14ac:dyDescent="0.2">
      <c r="A476" s="1">
        <v>1</v>
      </c>
      <c r="B476" s="6" t="str">
        <f>VLOOKUP(A476,'ACTIVOS CODIGO'!A:B,2,0)</f>
        <v>ACTIVO</v>
      </c>
      <c r="C476" s="2">
        <v>2</v>
      </c>
      <c r="D476" s="7" t="str">
        <f>VLOOKUP(C476,'ACTIVOS CODIGO'!C:D,2,0)</f>
        <v>ACTIVO DE LA HACIENDA = ACTIVO NO CORRIENTE</v>
      </c>
      <c r="E476" s="3">
        <v>2</v>
      </c>
      <c r="F476" s="8" t="str">
        <f>VLOOKUP(E476,'ACTIVOS CODIGO'!E:F,2,0)</f>
        <v>ACTIVO EXIGIBLE</v>
      </c>
      <c r="G476" s="10">
        <v>240</v>
      </c>
      <c r="H476" s="10" t="str">
        <f>VLOOKUP(G476,'PUB 21'!$A$1:$B$29,2,0)</f>
        <v>OTROS ACTIVOS</v>
      </c>
      <c r="K476" s="18"/>
      <c r="M476" s="27" t="str">
        <f t="shared" si="49"/>
        <v>1-2-2-24-00-00</v>
      </c>
      <c r="N476" s="27" t="str">
        <f t="shared" si="50"/>
        <v>OTROS ACTIVOS</v>
      </c>
      <c r="O476" s="4">
        <f t="shared" si="46"/>
        <v>37</v>
      </c>
      <c r="P476" s="4" t="s">
        <v>491</v>
      </c>
      <c r="Q476" s="4" t="str">
        <f t="shared" si="48"/>
        <v>1-2-2-24-00-00-037</v>
      </c>
      <c r="R476" s="4" t="str">
        <f t="shared" si="47"/>
        <v>LATINO 02-49471-1</v>
      </c>
    </row>
    <row r="477" spans="1:18" ht="23.25" x14ac:dyDescent="0.2">
      <c r="A477" s="1">
        <v>1</v>
      </c>
      <c r="B477" s="6" t="str">
        <f>VLOOKUP(A477,'ACTIVOS CODIGO'!A:B,2,0)</f>
        <v>ACTIVO</v>
      </c>
      <c r="C477" s="2">
        <v>2</v>
      </c>
      <c r="D477" s="7" t="str">
        <f>VLOOKUP(C477,'ACTIVOS CODIGO'!C:D,2,0)</f>
        <v>ACTIVO DE LA HACIENDA = ACTIVO NO CORRIENTE</v>
      </c>
      <c r="E477" s="3">
        <v>2</v>
      </c>
      <c r="F477" s="8" t="str">
        <f>VLOOKUP(E477,'ACTIVOS CODIGO'!E:F,2,0)</f>
        <v>ACTIVO EXIGIBLE</v>
      </c>
      <c r="G477" s="10">
        <v>240</v>
      </c>
      <c r="H477" s="10" t="str">
        <f>VLOOKUP(G477,'PUB 21'!$A$1:$B$29,2,0)</f>
        <v>OTROS ACTIVOS</v>
      </c>
      <c r="K477" s="18"/>
      <c r="M477" s="27" t="str">
        <f t="shared" si="49"/>
        <v>1-2-2-24-00-00</v>
      </c>
      <c r="N477" s="27" t="str">
        <f t="shared" si="50"/>
        <v>OTROS ACTIVOS</v>
      </c>
      <c r="O477" s="4">
        <f t="shared" si="46"/>
        <v>38</v>
      </c>
      <c r="P477" s="4" t="s">
        <v>492</v>
      </c>
      <c r="Q477" s="4" t="str">
        <f t="shared" si="48"/>
        <v>1-2-2-24-00-00-038</v>
      </c>
      <c r="R477" s="4" t="str">
        <f t="shared" si="47"/>
        <v>MARACAIBO 038-04023-4</v>
      </c>
    </row>
    <row r="478" spans="1:18" ht="23.25" x14ac:dyDescent="0.2">
      <c r="A478" s="1">
        <v>1</v>
      </c>
      <c r="B478" s="6" t="str">
        <f>VLOOKUP(A478,'ACTIVOS CODIGO'!A:B,2,0)</f>
        <v>ACTIVO</v>
      </c>
      <c r="C478" s="2">
        <v>2</v>
      </c>
      <c r="D478" s="7" t="str">
        <f>VLOOKUP(C478,'ACTIVOS CODIGO'!C:D,2,0)</f>
        <v>ACTIVO DE LA HACIENDA = ACTIVO NO CORRIENTE</v>
      </c>
      <c r="E478" s="3">
        <v>2</v>
      </c>
      <c r="F478" s="8" t="str">
        <f>VLOOKUP(E478,'ACTIVOS CODIGO'!E:F,2,0)</f>
        <v>ACTIVO EXIGIBLE</v>
      </c>
      <c r="G478" s="10">
        <v>240</v>
      </c>
      <c r="H478" s="10" t="str">
        <f>VLOOKUP(G478,'PUB 21'!$A$1:$B$29,2,0)</f>
        <v>OTROS ACTIVOS</v>
      </c>
      <c r="K478" s="18"/>
      <c r="M478" s="27" t="str">
        <f t="shared" si="49"/>
        <v>1-2-2-24-00-00</v>
      </c>
      <c r="N478" s="27" t="str">
        <f t="shared" si="50"/>
        <v>OTROS ACTIVOS</v>
      </c>
      <c r="O478" s="4">
        <f t="shared" si="46"/>
        <v>39</v>
      </c>
      <c r="P478" s="4" t="s">
        <v>493</v>
      </c>
      <c r="Q478" s="4" t="str">
        <f t="shared" si="48"/>
        <v>1-2-2-24-00-00-039</v>
      </c>
      <c r="R478" s="4" t="str">
        <f t="shared" si="47"/>
        <v>ACT. DE CONVENIO IMCP</v>
      </c>
    </row>
    <row r="479" spans="1:18" ht="23.25" x14ac:dyDescent="0.2">
      <c r="A479" s="1">
        <v>1</v>
      </c>
      <c r="B479" s="6" t="str">
        <f>VLOOKUP(A479,'ACTIVOS CODIGO'!A:B,2,0)</f>
        <v>ACTIVO</v>
      </c>
      <c r="C479" s="2">
        <v>2</v>
      </c>
      <c r="D479" s="7" t="str">
        <f>VLOOKUP(C479,'ACTIVOS CODIGO'!C:D,2,0)</f>
        <v>ACTIVO DE LA HACIENDA = ACTIVO NO CORRIENTE</v>
      </c>
      <c r="E479" s="3">
        <v>2</v>
      </c>
      <c r="F479" s="8" t="str">
        <f>VLOOKUP(E479,'ACTIVOS CODIGO'!E:F,2,0)</f>
        <v>ACTIVO EXIGIBLE</v>
      </c>
      <c r="G479" s="10">
        <v>240</v>
      </c>
      <c r="H479" s="10" t="str">
        <f>VLOOKUP(G479,'PUB 21'!$A$1:$B$29,2,0)</f>
        <v>OTROS ACTIVOS</v>
      </c>
      <c r="K479" s="18"/>
      <c r="M479" s="27" t="str">
        <f t="shared" si="49"/>
        <v>1-2-2-24-00-00</v>
      </c>
      <c r="N479" s="27" t="str">
        <f t="shared" si="50"/>
        <v>OTROS ACTIVOS</v>
      </c>
      <c r="O479" s="4">
        <f t="shared" si="46"/>
        <v>40</v>
      </c>
      <c r="P479" s="4" t="s">
        <v>494</v>
      </c>
      <c r="Q479" s="4" t="str">
        <f t="shared" si="48"/>
        <v>1-2-2-24-00-00-040</v>
      </c>
      <c r="R479" s="4" t="str">
        <f t="shared" si="47"/>
        <v>BANCOR 001-1-10467-5</v>
      </c>
    </row>
    <row r="480" spans="1:18" x14ac:dyDescent="0.2">
      <c r="A480" s="1">
        <v>2</v>
      </c>
      <c r="B480" s="6" t="str">
        <f>VLOOKUP(A480,'ACTIVOS CODIGO'!A:B,2,0)</f>
        <v>PASIVO</v>
      </c>
      <c r="C480" s="2"/>
      <c r="D480" s="7"/>
      <c r="E480" s="3"/>
      <c r="F480" s="8"/>
      <c r="G480" s="10">
        <v>0</v>
      </c>
      <c r="H480" s="10"/>
      <c r="K480" s="18"/>
      <c r="L480" s="5"/>
      <c r="M480" s="27" t="str">
        <f t="shared" si="49"/>
        <v>2-0-0-00-00-00</v>
      </c>
      <c r="N480" s="27" t="str">
        <f t="shared" si="50"/>
        <v>PASIVO</v>
      </c>
      <c r="O480" s="4">
        <f t="shared" si="46"/>
        <v>0</v>
      </c>
      <c r="Q480" s="4" t="str">
        <f t="shared" si="48"/>
        <v>2-0-0-00-00-00-000</v>
      </c>
      <c r="R480" s="4" t="str">
        <f t="shared" si="47"/>
        <v>PASIVO</v>
      </c>
    </row>
    <row r="481" spans="1:18" x14ac:dyDescent="0.2">
      <c r="A481" s="1">
        <v>2</v>
      </c>
      <c r="B481" s="6" t="str">
        <f>VLOOKUP(A481,'ACTIVOS CODIGO'!A:B,2,0)</f>
        <v>PASIVO</v>
      </c>
      <c r="C481" s="2">
        <v>1</v>
      </c>
      <c r="D481" s="7" t="str">
        <f>VLOOKUP(C481,'ACTIVOS CODIGO'!H:I,2,0)</f>
        <v>PASIVO DEL TESORO = PASIVO CORRIENTE</v>
      </c>
      <c r="E481" s="3"/>
      <c r="F481" s="8"/>
      <c r="G481" s="10">
        <v>0</v>
      </c>
      <c r="H481" s="10"/>
      <c r="K481" s="18"/>
      <c r="L481" s="5"/>
      <c r="M481" s="27" t="str">
        <f t="shared" si="49"/>
        <v>2-1-0-00-00-00</v>
      </c>
      <c r="N481" s="27" t="str">
        <f t="shared" si="50"/>
        <v>PASIVO DEL TESORO = PASIVO CORRIENTE</v>
      </c>
      <c r="O481" s="4">
        <f t="shared" si="46"/>
        <v>0</v>
      </c>
      <c r="Q481" s="4" t="str">
        <f t="shared" si="48"/>
        <v>2-1-0-00-00-00-000</v>
      </c>
      <c r="R481" s="4" t="str">
        <f t="shared" si="47"/>
        <v>PASIVO DEL TESORO = PASIVO CORRIENTE</v>
      </c>
    </row>
    <row r="482" spans="1:18" x14ac:dyDescent="0.2">
      <c r="A482" s="1">
        <v>2</v>
      </c>
      <c r="B482" s="6" t="str">
        <f>VLOOKUP(A482,'ACTIVOS CODIGO'!A:B,2,0)</f>
        <v>PASIVO</v>
      </c>
      <c r="C482" s="2">
        <v>1</v>
      </c>
      <c r="D482" s="7" t="str">
        <f>VLOOKUP(C482,'ACTIVOS CODIGO'!H:I,2,0)</f>
        <v>PASIVO DEL TESORO = PASIVO CORRIENTE</v>
      </c>
      <c r="E482" s="3"/>
      <c r="F482" s="8"/>
      <c r="G482" s="10">
        <v>101</v>
      </c>
      <c r="H482" s="10" t="str">
        <f>VLOOKUP(G482,'PUB 21'!$A$1:$B$29,2,0)</f>
        <v>ORDENES DE PAGO</v>
      </c>
      <c r="K482" s="18"/>
      <c r="L482" s="5"/>
      <c r="M482" s="27" t="str">
        <f t="shared" si="49"/>
        <v>2-1-0-10-10-00</v>
      </c>
      <c r="N482" s="27" t="str">
        <f t="shared" si="50"/>
        <v>ORDENES DE PAGO</v>
      </c>
      <c r="O482" s="4">
        <f t="shared" si="46"/>
        <v>0</v>
      </c>
      <c r="Q482" s="4" t="str">
        <f t="shared" si="48"/>
        <v>2-1-0-10-10-00-000</v>
      </c>
      <c r="R482" s="4" t="str">
        <f t="shared" si="47"/>
        <v>ORDENES DE PAGO</v>
      </c>
    </row>
    <row r="483" spans="1:18" x14ac:dyDescent="0.2">
      <c r="A483" s="1">
        <v>2</v>
      </c>
      <c r="B483" s="6" t="str">
        <f>VLOOKUP(A483,'ACTIVOS CODIGO'!A:B,2,0)</f>
        <v>PASIVO</v>
      </c>
      <c r="C483" s="2">
        <v>1</v>
      </c>
      <c r="D483" s="7" t="str">
        <f>VLOOKUP(C483,'ACTIVOS CODIGO'!H:I,2,0)</f>
        <v>PASIVO DEL TESORO = PASIVO CORRIENTE</v>
      </c>
      <c r="E483" s="3"/>
      <c r="F483" s="8"/>
      <c r="G483" s="10">
        <v>101</v>
      </c>
      <c r="H483" s="10" t="str">
        <f>VLOOKUP(G483,'PUB 21'!$A$1:$B$29,2,0)</f>
        <v>ORDENES DE PAGO</v>
      </c>
      <c r="K483" s="18"/>
      <c r="L483" s="5"/>
      <c r="M483" s="27" t="str">
        <f t="shared" si="49"/>
        <v>2-1-0-10-10-00</v>
      </c>
      <c r="N483" s="27" t="str">
        <f t="shared" si="50"/>
        <v>ORDENES DE PAGO</v>
      </c>
      <c r="O483" s="4">
        <f t="shared" si="46"/>
        <v>1</v>
      </c>
      <c r="P483" s="4" t="s">
        <v>500</v>
      </c>
      <c r="Q483" s="4" t="str">
        <f t="shared" si="48"/>
        <v>2-1-0-10-10-00-001</v>
      </c>
      <c r="R483" s="4" t="str">
        <f t="shared" si="47"/>
        <v>ORDENES DE PAGO AÑO 2021</v>
      </c>
    </row>
    <row r="484" spans="1:18" x14ac:dyDescent="0.2">
      <c r="A484" s="1">
        <v>2</v>
      </c>
      <c r="B484" s="6" t="str">
        <f>VLOOKUP(A484,'ACTIVOS CODIGO'!A:B,2,0)</f>
        <v>PASIVO</v>
      </c>
      <c r="C484" s="2">
        <v>1</v>
      </c>
      <c r="D484" s="7" t="str">
        <f>VLOOKUP(C484,'ACTIVOS CODIGO'!H:I,2,0)</f>
        <v>PASIVO DEL TESORO = PASIVO CORRIENTE</v>
      </c>
      <c r="E484" s="3"/>
      <c r="F484" s="8"/>
      <c r="G484" s="10">
        <v>101</v>
      </c>
      <c r="H484" s="10" t="str">
        <f>VLOOKUP(G484,'PUB 21'!$A$1:$B$29,2,0)</f>
        <v>ORDENES DE PAGO</v>
      </c>
      <c r="K484" s="18"/>
      <c r="L484" s="5"/>
      <c r="M484" s="27" t="str">
        <f t="shared" si="49"/>
        <v>2-1-0-10-10-00</v>
      </c>
      <c r="N484" s="27" t="str">
        <f t="shared" si="50"/>
        <v>ORDENES DE PAGO</v>
      </c>
      <c r="O484" s="4">
        <f t="shared" si="46"/>
        <v>2</v>
      </c>
      <c r="P484" s="4" t="s">
        <v>501</v>
      </c>
      <c r="Q484" s="4" t="str">
        <f t="shared" si="48"/>
        <v>2-1-0-10-10-00-002</v>
      </c>
      <c r="R484" s="4" t="str">
        <f t="shared" si="47"/>
        <v>OP SUJETAS A RENDICION 2021</v>
      </c>
    </row>
    <row r="485" spans="1:18" x14ac:dyDescent="0.2">
      <c r="A485" s="1">
        <v>2</v>
      </c>
      <c r="B485" s="6" t="str">
        <f>VLOOKUP(A485,'ACTIVOS CODIGO'!A:B,2,0)</f>
        <v>PASIVO</v>
      </c>
      <c r="C485" s="2">
        <v>1</v>
      </c>
      <c r="D485" s="7" t="str">
        <f>VLOOKUP(C485,'ACTIVOS CODIGO'!H:I,2,0)</f>
        <v>PASIVO DEL TESORO = PASIVO CORRIENTE</v>
      </c>
      <c r="E485" s="3"/>
      <c r="F485" s="8"/>
      <c r="G485" s="10">
        <v>101</v>
      </c>
      <c r="H485" s="10" t="str">
        <f>VLOOKUP(G485,'PUB 21'!$A$1:$B$29,2,0)</f>
        <v>ORDENES DE PAGO</v>
      </c>
      <c r="K485" s="18"/>
      <c r="L485" s="5"/>
      <c r="M485" s="27" t="str">
        <f t="shared" si="49"/>
        <v>2-1-0-10-10-00</v>
      </c>
      <c r="N485" s="27" t="str">
        <f t="shared" si="50"/>
        <v>ORDENES DE PAGO</v>
      </c>
      <c r="O485" s="4">
        <f t="shared" si="46"/>
        <v>3</v>
      </c>
      <c r="P485" s="4" t="s">
        <v>502</v>
      </c>
      <c r="Q485" s="4" t="str">
        <f t="shared" si="48"/>
        <v>2-1-0-10-10-00-003</v>
      </c>
      <c r="R485" s="4" t="str">
        <f t="shared" si="47"/>
        <v>OP DIRECTAS 2021</v>
      </c>
    </row>
    <row r="486" spans="1:18" x14ac:dyDescent="0.2">
      <c r="A486" s="1">
        <v>2</v>
      </c>
      <c r="B486" s="6" t="str">
        <f>VLOOKUP(A486,'ACTIVOS CODIGO'!A:B,2,0)</f>
        <v>PASIVO</v>
      </c>
      <c r="C486" s="2">
        <v>1</v>
      </c>
      <c r="D486" s="7" t="str">
        <f>VLOOKUP(C486,'ACTIVOS CODIGO'!H:I,2,0)</f>
        <v>PASIVO DEL TESORO = PASIVO CORRIENTE</v>
      </c>
      <c r="E486" s="3"/>
      <c r="F486" s="8"/>
      <c r="G486" s="10">
        <v>101</v>
      </c>
      <c r="H486" s="10" t="str">
        <f>VLOOKUP(G486,'PUB 21'!$A$1:$B$29,2,0)</f>
        <v>ORDENES DE PAGO</v>
      </c>
      <c r="K486" s="18"/>
      <c r="L486" s="5"/>
      <c r="M486" s="27" t="str">
        <f t="shared" si="49"/>
        <v>2-1-0-10-10-00</v>
      </c>
      <c r="N486" s="27" t="str">
        <f t="shared" si="50"/>
        <v>ORDENES DE PAGO</v>
      </c>
      <c r="O486" s="4">
        <f t="shared" si="46"/>
        <v>4</v>
      </c>
      <c r="P486" s="4" t="s">
        <v>503</v>
      </c>
      <c r="Q486" s="4" t="str">
        <f t="shared" si="48"/>
        <v>2-1-0-10-10-00-004</v>
      </c>
      <c r="R486" s="4" t="str">
        <f t="shared" si="47"/>
        <v>ORDENES DE PAGO AÑO 2022</v>
      </c>
    </row>
    <row r="487" spans="1:18" x14ac:dyDescent="0.2">
      <c r="A487" s="1">
        <v>2</v>
      </c>
      <c r="B487" s="6" t="str">
        <f>VLOOKUP(A487,'ACTIVOS CODIGO'!A:B,2,0)</f>
        <v>PASIVO</v>
      </c>
      <c r="C487" s="2">
        <v>1</v>
      </c>
      <c r="D487" s="7" t="str">
        <f>VLOOKUP(C487,'ACTIVOS CODIGO'!H:I,2,0)</f>
        <v>PASIVO DEL TESORO = PASIVO CORRIENTE</v>
      </c>
      <c r="E487" s="3"/>
      <c r="F487" s="8"/>
      <c r="G487" s="10">
        <v>101</v>
      </c>
      <c r="H487" s="10" t="str">
        <f>VLOOKUP(G487,'PUB 21'!$A$1:$B$29,2,0)</f>
        <v>ORDENES DE PAGO</v>
      </c>
      <c r="K487" s="18"/>
      <c r="L487" s="5"/>
      <c r="M487" s="27" t="str">
        <f t="shared" si="49"/>
        <v>2-1-0-10-10-00</v>
      </c>
      <c r="N487" s="27" t="str">
        <f t="shared" si="50"/>
        <v>ORDENES DE PAGO</v>
      </c>
      <c r="O487" s="4">
        <f t="shared" si="46"/>
        <v>5</v>
      </c>
      <c r="P487" s="4" t="s">
        <v>504</v>
      </c>
      <c r="Q487" s="4" t="str">
        <f t="shared" si="48"/>
        <v>2-1-0-10-10-00-005</v>
      </c>
      <c r="R487" s="4" t="str">
        <f t="shared" si="47"/>
        <v>OP SUJETAS A RENDICION 2022</v>
      </c>
    </row>
    <row r="488" spans="1:18" x14ac:dyDescent="0.2">
      <c r="A488" s="1">
        <v>2</v>
      </c>
      <c r="B488" s="6" t="str">
        <f>VLOOKUP(A488,'ACTIVOS CODIGO'!A:B,2,0)</f>
        <v>PASIVO</v>
      </c>
      <c r="C488" s="2">
        <v>1</v>
      </c>
      <c r="D488" s="7" t="str">
        <f>VLOOKUP(C488,'ACTIVOS CODIGO'!H:I,2,0)</f>
        <v>PASIVO DEL TESORO = PASIVO CORRIENTE</v>
      </c>
      <c r="E488" s="3"/>
      <c r="F488" s="8"/>
      <c r="G488" s="10">
        <v>101</v>
      </c>
      <c r="H488" s="10" t="str">
        <f>VLOOKUP(G488,'PUB 21'!$A$1:$B$29,2,0)</f>
        <v>ORDENES DE PAGO</v>
      </c>
      <c r="K488" s="18"/>
      <c r="L488" s="5"/>
      <c r="M488" s="27" t="str">
        <f t="shared" si="49"/>
        <v>2-1-0-10-10-00</v>
      </c>
      <c r="N488" s="27" t="str">
        <f t="shared" si="50"/>
        <v>ORDENES DE PAGO</v>
      </c>
      <c r="O488" s="4">
        <f t="shared" si="46"/>
        <v>6</v>
      </c>
      <c r="P488" s="4" t="s">
        <v>505</v>
      </c>
      <c r="Q488" s="4" t="str">
        <f t="shared" si="48"/>
        <v>2-1-0-10-10-00-006</v>
      </c>
      <c r="R488" s="4" t="str">
        <f t="shared" si="47"/>
        <v>OP DIRECTAS 2022</v>
      </c>
    </row>
    <row r="489" spans="1:18" x14ac:dyDescent="0.2">
      <c r="A489" s="1">
        <v>2</v>
      </c>
      <c r="B489" s="6" t="str">
        <f>VLOOKUP(A489,'ACTIVOS CODIGO'!A:B,2,0)</f>
        <v>PASIVO</v>
      </c>
      <c r="C489" s="2">
        <v>1</v>
      </c>
      <c r="D489" s="7" t="str">
        <f>VLOOKUP(C489,'ACTIVOS CODIGO'!H:I,2,0)</f>
        <v>PASIVO DEL TESORO = PASIVO CORRIENTE</v>
      </c>
      <c r="E489" s="3"/>
      <c r="F489" s="8"/>
      <c r="G489" s="10">
        <v>101</v>
      </c>
      <c r="H489" s="10" t="str">
        <f>VLOOKUP(G489,'PUB 21'!$A$1:$B$29,2,0)</f>
        <v>ORDENES DE PAGO</v>
      </c>
      <c r="K489" s="18"/>
      <c r="L489" s="5"/>
      <c r="M489" s="27" t="str">
        <f t="shared" si="49"/>
        <v>2-1-0-10-10-00</v>
      </c>
      <c r="N489" s="27" t="str">
        <f t="shared" si="50"/>
        <v>ORDENES DE PAGO</v>
      </c>
      <c r="O489" s="4">
        <f t="shared" si="46"/>
        <v>7</v>
      </c>
      <c r="P489" s="4" t="s">
        <v>506</v>
      </c>
      <c r="Q489" s="4" t="str">
        <f t="shared" si="48"/>
        <v>2-1-0-10-10-00-007</v>
      </c>
      <c r="R489" s="4" t="str">
        <f t="shared" si="47"/>
        <v>ORDENES DE PAGO AÑO 2023</v>
      </c>
    </row>
    <row r="490" spans="1:18" x14ac:dyDescent="0.2">
      <c r="A490" s="1">
        <v>2</v>
      </c>
      <c r="B490" s="6" t="str">
        <f>VLOOKUP(A490,'ACTIVOS CODIGO'!A:B,2,0)</f>
        <v>PASIVO</v>
      </c>
      <c r="C490" s="2">
        <v>1</v>
      </c>
      <c r="D490" s="7" t="str">
        <f>VLOOKUP(C490,'ACTIVOS CODIGO'!H:I,2,0)</f>
        <v>PASIVO DEL TESORO = PASIVO CORRIENTE</v>
      </c>
      <c r="E490" s="3"/>
      <c r="F490" s="8"/>
      <c r="G490" s="10">
        <v>101</v>
      </c>
      <c r="H490" s="10" t="str">
        <f>VLOOKUP(G490,'PUB 21'!$A$1:$B$29,2,0)</f>
        <v>ORDENES DE PAGO</v>
      </c>
      <c r="K490" s="18"/>
      <c r="L490" s="5"/>
      <c r="M490" s="27" t="str">
        <f t="shared" si="49"/>
        <v>2-1-0-10-10-00</v>
      </c>
      <c r="N490" s="27" t="str">
        <f t="shared" si="50"/>
        <v>ORDENES DE PAGO</v>
      </c>
      <c r="O490" s="4">
        <f t="shared" si="46"/>
        <v>8</v>
      </c>
      <c r="P490" s="4" t="s">
        <v>507</v>
      </c>
      <c r="Q490" s="4" t="str">
        <f t="shared" ref="Q490:Q495" si="51">CONCATENATE(TEXT(A490,"0"),"-",TEXT(C490,"0"),"-",TEXT(E490,"0"),"-",TEXT(LEFT(G490,2),"00"),"-",TEXT(RIGHT(G490,1),"0"),TEXT(I490,"0"),"-",TEXT(K490,"00"),"-",TEXT(O490,"000"))</f>
        <v>2-1-0-10-10-00-008</v>
      </c>
      <c r="R490" s="4" t="str">
        <f t="shared" si="47"/>
        <v>OP SUJETAS A RENDICION 2023</v>
      </c>
    </row>
    <row r="491" spans="1:18" x14ac:dyDescent="0.2">
      <c r="A491" s="1">
        <v>2</v>
      </c>
      <c r="B491" s="6" t="str">
        <f>VLOOKUP(A491,'ACTIVOS CODIGO'!A:B,2,0)</f>
        <v>PASIVO</v>
      </c>
      <c r="C491" s="2">
        <v>1</v>
      </c>
      <c r="D491" s="7" t="str">
        <f>VLOOKUP(C491,'ACTIVOS CODIGO'!H:I,2,0)</f>
        <v>PASIVO DEL TESORO = PASIVO CORRIENTE</v>
      </c>
      <c r="E491" s="3"/>
      <c r="F491" s="8"/>
      <c r="G491" s="10">
        <v>101</v>
      </c>
      <c r="H491" s="10" t="str">
        <f>VLOOKUP(G491,'PUB 21'!$A$1:$B$29,2,0)</f>
        <v>ORDENES DE PAGO</v>
      </c>
      <c r="K491" s="18"/>
      <c r="L491" s="5"/>
      <c r="M491" s="27" t="str">
        <f t="shared" si="49"/>
        <v>2-1-0-10-10-00</v>
      </c>
      <c r="N491" s="27" t="str">
        <f t="shared" si="50"/>
        <v>ORDENES DE PAGO</v>
      </c>
      <c r="O491" s="4">
        <f t="shared" si="46"/>
        <v>9</v>
      </c>
      <c r="P491" s="4" t="s">
        <v>508</v>
      </c>
      <c r="Q491" s="4" t="str">
        <f t="shared" si="51"/>
        <v>2-1-0-10-10-00-009</v>
      </c>
      <c r="R491" s="4" t="str">
        <f t="shared" si="47"/>
        <v>OP DIRECTAS 2023</v>
      </c>
    </row>
    <row r="492" spans="1:18" x14ac:dyDescent="0.2">
      <c r="A492" s="1">
        <v>2</v>
      </c>
      <c r="B492" s="6" t="str">
        <f>VLOOKUP(A492,'ACTIVOS CODIGO'!A:B,2,0)</f>
        <v>PASIVO</v>
      </c>
      <c r="C492" s="2">
        <v>1</v>
      </c>
      <c r="D492" s="7" t="str">
        <f>VLOOKUP(C492,'ACTIVOS CODIGO'!H:I,2,0)</f>
        <v>PASIVO DEL TESORO = PASIVO CORRIENTE</v>
      </c>
      <c r="E492" s="3"/>
      <c r="F492" s="8"/>
      <c r="G492" s="10">
        <v>103</v>
      </c>
      <c r="H492" s="10" t="str">
        <f>VLOOKUP(G492,'PUB 21'!$A$1:$B$29,2,0)</f>
        <v>GASTOS POR PAGAR</v>
      </c>
      <c r="K492" s="18"/>
      <c r="L492" s="5"/>
      <c r="M492" s="27" t="str">
        <f t="shared" si="49"/>
        <v>2-1-0-10-30-00</v>
      </c>
      <c r="N492" s="27" t="str">
        <f t="shared" si="50"/>
        <v>GASTOS POR PAGAR</v>
      </c>
      <c r="O492" s="4">
        <f t="shared" si="46"/>
        <v>0</v>
      </c>
      <c r="Q492" s="4" t="str">
        <f t="shared" si="51"/>
        <v>2-1-0-10-30-00-000</v>
      </c>
      <c r="R492" s="4" t="str">
        <f t="shared" si="47"/>
        <v>GASTOS POR PAGAR</v>
      </c>
    </row>
    <row r="493" spans="1:18" x14ac:dyDescent="0.2">
      <c r="A493" s="1">
        <v>2</v>
      </c>
      <c r="B493" s="6" t="str">
        <f>VLOOKUP(A493,'ACTIVOS CODIGO'!A:B,2,0)</f>
        <v>PASIVO</v>
      </c>
      <c r="C493" s="2">
        <v>1</v>
      </c>
      <c r="D493" s="7" t="str">
        <f>VLOOKUP(C493,'ACTIVOS CODIGO'!H:I,2,0)</f>
        <v>PASIVO DEL TESORO = PASIVO CORRIENTE</v>
      </c>
      <c r="E493" s="3"/>
      <c r="F493" s="8"/>
      <c r="G493" s="10">
        <v>103</v>
      </c>
      <c r="H493" s="10" t="str">
        <f>VLOOKUP(G493,'PUB 21'!$A$1:$B$29,2,0)</f>
        <v>GASTOS POR PAGAR</v>
      </c>
      <c r="K493" s="18"/>
      <c r="L493" s="5"/>
      <c r="M493" s="27" t="str">
        <f t="shared" si="49"/>
        <v>2-1-0-10-30-00</v>
      </c>
      <c r="N493" s="27" t="str">
        <f t="shared" si="50"/>
        <v>GASTOS POR PAGAR</v>
      </c>
      <c r="O493" s="4">
        <f t="shared" si="46"/>
        <v>1</v>
      </c>
      <c r="P493" s="4" t="s">
        <v>509</v>
      </c>
      <c r="Q493" s="4" t="str">
        <f t="shared" si="51"/>
        <v>2-1-0-10-30-00-001</v>
      </c>
      <c r="R493" s="4" t="str">
        <f t="shared" si="47"/>
        <v>RELACION DE COMPROMISO DEL TESORO</v>
      </c>
    </row>
    <row r="494" spans="1:18" x14ac:dyDescent="0.2">
      <c r="A494" s="1">
        <v>2</v>
      </c>
      <c r="B494" s="6" t="str">
        <f>VLOOKUP(A494,'ACTIVOS CODIGO'!A:B,2,0)</f>
        <v>PASIVO</v>
      </c>
      <c r="C494" s="2">
        <v>1</v>
      </c>
      <c r="D494" s="7" t="str">
        <f>VLOOKUP(C494,'ACTIVOS CODIGO'!H:I,2,0)</f>
        <v>PASIVO DEL TESORO = PASIVO CORRIENTE</v>
      </c>
      <c r="E494" s="3"/>
      <c r="F494" s="8"/>
      <c r="G494" s="10">
        <v>109</v>
      </c>
      <c r="H494" s="10" t="str">
        <f>VLOOKUP(G494,'PUB 21'!$A$1:$B$29,2,0)</f>
        <v>PRESTAMOS A CORTO PLAZO</v>
      </c>
      <c r="K494" s="18"/>
      <c r="L494" s="5"/>
      <c r="M494" s="27" t="str">
        <f t="shared" si="49"/>
        <v>2-1-0-10-90-00</v>
      </c>
      <c r="N494" s="27" t="str">
        <f t="shared" si="50"/>
        <v>PRESTAMOS A CORTO PLAZO</v>
      </c>
      <c r="O494" s="4">
        <f t="shared" si="46"/>
        <v>0</v>
      </c>
      <c r="Q494" s="4" t="str">
        <f t="shared" si="51"/>
        <v>2-1-0-10-90-00-000</v>
      </c>
      <c r="R494" s="4" t="str">
        <f t="shared" si="47"/>
        <v>PRESTAMOS A CORTO PLAZO</v>
      </c>
    </row>
    <row r="495" spans="1:18" x14ac:dyDescent="0.2">
      <c r="A495" s="1">
        <v>2</v>
      </c>
      <c r="B495" s="6" t="str">
        <f>VLOOKUP(A495,'ACTIVOS CODIGO'!A:B,2,0)</f>
        <v>PASIVO</v>
      </c>
      <c r="C495" s="2">
        <v>1</v>
      </c>
      <c r="D495" s="7" t="str">
        <f>VLOOKUP(C495,'ACTIVOS CODIGO'!H:I,2,0)</f>
        <v>PASIVO DEL TESORO = PASIVO CORRIENTE</v>
      </c>
      <c r="E495" s="3"/>
      <c r="F495" s="8"/>
      <c r="G495" s="10">
        <v>131</v>
      </c>
      <c r="H495" s="10" t="str">
        <f>VLOOKUP(G495,'PUB 21'!$A$1:$B$29,2,0)</f>
        <v>DEPOSITOS ESPECIALES</v>
      </c>
      <c r="K495" s="18"/>
      <c r="L495" s="5"/>
      <c r="M495" s="27" t="str">
        <f t="shared" si="49"/>
        <v>2-1-0-13-10-00</v>
      </c>
      <c r="N495" s="27" t="str">
        <f t="shared" si="50"/>
        <v>DEPOSITOS ESPECIALES</v>
      </c>
      <c r="O495" s="4">
        <f t="shared" si="46"/>
        <v>0</v>
      </c>
      <c r="Q495" s="4" t="str">
        <f t="shared" si="51"/>
        <v>2-1-0-13-10-00-000</v>
      </c>
      <c r="R495" s="4" t="str">
        <f t="shared" si="47"/>
        <v>DEPOSITOS ESPECIALES</v>
      </c>
    </row>
    <row r="496" spans="1:18" x14ac:dyDescent="0.2">
      <c r="A496" s="1">
        <v>2</v>
      </c>
      <c r="B496" s="6" t="str">
        <f>VLOOKUP(A496,'ACTIVOS CODIGO'!A:B,2,0)</f>
        <v>PASIVO</v>
      </c>
      <c r="C496" s="2">
        <v>1</v>
      </c>
      <c r="D496" s="7" t="str">
        <f>VLOOKUP(C496,'ACTIVOS CODIGO'!H:I,2,0)</f>
        <v>PASIVO DEL TESORO = PASIVO CORRIENTE</v>
      </c>
      <c r="E496" s="3"/>
      <c r="F496" s="8"/>
      <c r="G496" s="10">
        <v>133</v>
      </c>
      <c r="H496" s="10" t="str">
        <f>VLOOKUP(G496,'PUB 21'!$A$1:$B$29,2,0)</f>
        <v>DEPOSITOS DE TERCEROS</v>
      </c>
      <c r="J496" s="35"/>
      <c r="K496" s="18"/>
      <c r="L496" s="5"/>
      <c r="M496" s="27" t="str">
        <f t="shared" si="49"/>
        <v>2-1-0-13-30-00</v>
      </c>
      <c r="N496" s="27" t="str">
        <f t="shared" si="50"/>
        <v>DEPOSITOS DE TERCEROS</v>
      </c>
      <c r="O496" s="4">
        <f t="shared" si="46"/>
        <v>0</v>
      </c>
      <c r="Q496" s="4" t="str">
        <f t="shared" ref="Q496:Q591" si="52">CONCATENATE(TEXT(A496,"0"),"-",TEXT(C496,"0"),"-",TEXT(E496,"0"),"-",TEXT(LEFT(G496,2),"00"),"-",TEXT(RIGHT(G496,1),"0"),TEXT(I496,"0"),"-",TEXT(K496,"00"),"-",TEXT(O496,"000"))</f>
        <v>2-1-0-13-30-00-000</v>
      </c>
      <c r="R496" s="4" t="str">
        <f t="shared" si="47"/>
        <v>DEPOSITOS DE TERCEROS</v>
      </c>
    </row>
    <row r="497" spans="1:18" x14ac:dyDescent="0.2">
      <c r="A497" s="1">
        <v>2</v>
      </c>
      <c r="B497" s="6" t="str">
        <f>VLOOKUP(A497,'ACTIVOS CODIGO'!A:B,2,0)</f>
        <v>PASIVO</v>
      </c>
      <c r="C497" s="2">
        <v>1</v>
      </c>
      <c r="D497" s="7" t="str">
        <f>VLOOKUP(C497,'ACTIVOS CODIGO'!H:I,2,0)</f>
        <v>PASIVO DEL TESORO = PASIVO CORRIENTE</v>
      </c>
      <c r="E497" s="3"/>
      <c r="F497" s="8"/>
      <c r="G497" s="10">
        <v>133</v>
      </c>
      <c r="H497" s="10" t="str">
        <f>VLOOKUP(G497,'PUB 21'!$A$1:$B$29,2,0)</f>
        <v>DEPOSITOS DE TERCEROS</v>
      </c>
      <c r="J497" s="35"/>
      <c r="K497" s="18">
        <v>1</v>
      </c>
      <c r="L497" s="35" t="s">
        <v>516</v>
      </c>
      <c r="M497" s="27" t="str">
        <f t="shared" si="49"/>
        <v>2-1-0-13-30-01</v>
      </c>
      <c r="N497" s="27" t="str">
        <f t="shared" si="50"/>
        <v>CUENTA POR PAGAR AL INSTITUTO VENEZOLANO DE LOS SEGUROS SOCIALES (IVSS)</v>
      </c>
      <c r="O497" s="4">
        <f t="shared" si="46"/>
        <v>0</v>
      </c>
      <c r="Q497" s="4" t="str">
        <f t="shared" si="52"/>
        <v>2-1-0-13-30-01-000</v>
      </c>
      <c r="R497" s="4" t="str">
        <f t="shared" si="47"/>
        <v>CUENTA POR PAGAR AL INSTITUTO VENEZOLANO DE LOS SEGUROS SOCIALES (IVSS)</v>
      </c>
    </row>
    <row r="498" spans="1:18" x14ac:dyDescent="0.2">
      <c r="A498" s="1">
        <v>2</v>
      </c>
      <c r="B498" s="6" t="str">
        <f>VLOOKUP(A498,'ACTIVOS CODIGO'!A:B,2,0)</f>
        <v>PASIVO</v>
      </c>
      <c r="C498" s="2">
        <v>1</v>
      </c>
      <c r="D498" s="7" t="str">
        <f>VLOOKUP(C498,'ACTIVOS CODIGO'!H:I,2,0)</f>
        <v>PASIVO DEL TESORO = PASIVO CORRIENTE</v>
      </c>
      <c r="E498" s="3"/>
      <c r="F498" s="8"/>
      <c r="G498" s="10">
        <v>133</v>
      </c>
      <c r="H498" s="10" t="str">
        <f>VLOOKUP(G498,'PUB 21'!$A$1:$B$29,2,0)</f>
        <v>DEPOSITOS DE TERCEROS</v>
      </c>
      <c r="J498" s="35"/>
      <c r="K498" s="18">
        <v>1</v>
      </c>
      <c r="L498" s="35" t="s">
        <v>516</v>
      </c>
      <c r="M498" s="27" t="str">
        <f t="shared" si="49"/>
        <v>2-1-0-13-30-01</v>
      </c>
      <c r="N498" s="27" t="str">
        <f t="shared" si="50"/>
        <v>CUENTA POR PAGAR AL INSTITUTO VENEZOLANO DE LOS SEGUROS SOCIALES (IVSS)</v>
      </c>
      <c r="O498" s="4">
        <f t="shared" si="46"/>
        <v>1</v>
      </c>
      <c r="P498" s="4" t="s">
        <v>520</v>
      </c>
      <c r="Q498" s="4" t="str">
        <f t="shared" si="52"/>
        <v>2-1-0-13-30-01-001</v>
      </c>
      <c r="R498" s="4" t="str">
        <f t="shared" si="47"/>
        <v>RETENCIONES LABORALES POR PAGAR AL INSTITUTO VENEZOLANO DE LOS SEGUROS SOCIALES (IVSS) AL PERSONAL EMPLEADO</v>
      </c>
    </row>
    <row r="499" spans="1:18" x14ac:dyDescent="0.2">
      <c r="A499" s="1">
        <v>2</v>
      </c>
      <c r="B499" s="6" t="str">
        <f>VLOOKUP(A499,'ACTIVOS CODIGO'!A:B,2,0)</f>
        <v>PASIVO</v>
      </c>
      <c r="C499" s="2">
        <v>1</v>
      </c>
      <c r="D499" s="7" t="str">
        <f>VLOOKUP(C499,'ACTIVOS CODIGO'!H:I,2,0)</f>
        <v>PASIVO DEL TESORO = PASIVO CORRIENTE</v>
      </c>
      <c r="E499" s="3"/>
      <c r="F499" s="8"/>
      <c r="G499" s="10">
        <v>133</v>
      </c>
      <c r="H499" s="10" t="str">
        <f>VLOOKUP(G499,'PUB 21'!$A$1:$B$29,2,0)</f>
        <v>DEPOSITOS DE TERCEROS</v>
      </c>
      <c r="J499" s="35"/>
      <c r="K499" s="18">
        <v>1</v>
      </c>
      <c r="L499" s="35" t="s">
        <v>516</v>
      </c>
      <c r="M499" s="27" t="str">
        <f t="shared" si="49"/>
        <v>2-1-0-13-30-01</v>
      </c>
      <c r="N499" s="27" t="str">
        <f t="shared" si="50"/>
        <v>CUENTA POR PAGAR AL INSTITUTO VENEZOLANO DE LOS SEGUROS SOCIALES (IVSS)</v>
      </c>
      <c r="O499" s="4">
        <f t="shared" si="46"/>
        <v>2</v>
      </c>
      <c r="P499" s="4" t="s">
        <v>521</v>
      </c>
      <c r="Q499" s="4" t="str">
        <f t="shared" si="52"/>
        <v>2-1-0-13-30-01-002</v>
      </c>
      <c r="R499" s="4" t="str">
        <f t="shared" si="47"/>
        <v>APORTES PATRONALES POR PAGAR AL INSTITUTO VENEZOLANO DE LOS SEGUROS SOCIALES (IVSS) DEL PERSONAL EMPLEADO</v>
      </c>
    </row>
    <row r="500" spans="1:18" ht="25.5" x14ac:dyDescent="0.2">
      <c r="A500" s="1">
        <v>2</v>
      </c>
      <c r="B500" s="6" t="str">
        <f>VLOOKUP(A500,'ACTIVOS CODIGO'!A:B,2,0)</f>
        <v>PASIVO</v>
      </c>
      <c r="C500" s="2">
        <v>1</v>
      </c>
      <c r="D500" s="7" t="str">
        <f>VLOOKUP(C500,'ACTIVOS CODIGO'!H:I,2,0)</f>
        <v>PASIVO DEL TESORO = PASIVO CORRIENTE</v>
      </c>
      <c r="E500" s="3"/>
      <c r="F500" s="8"/>
      <c r="G500" s="10">
        <v>133</v>
      </c>
      <c r="H500" s="10" t="str">
        <f>VLOOKUP(G500,'PUB 21'!$A$1:$B$29,2,0)</f>
        <v>DEPOSITOS DE TERCEROS</v>
      </c>
      <c r="J500" s="35"/>
      <c r="K500" s="18">
        <v>1</v>
      </c>
      <c r="L500" s="35" t="s">
        <v>516</v>
      </c>
      <c r="M500" s="27" t="str">
        <f t="shared" ref="M500:M501" si="53">CONCATENATE(TEXT(A500,"0"),"-",TEXT(C500,"0"),"-",TEXT(E500,"0"),"-",TEXT(LEFT(G500,2),"00"),"-",TEXT(RIGHT(G500,1),"0"),TEXT(I500,"0"),"-",TEXT(K500,"00"))</f>
        <v>2-1-0-13-30-01</v>
      </c>
      <c r="N500" s="27" t="str">
        <f t="shared" ref="N500:N501" si="54">IF(L500="",IF(J500="",IF(H500="",IF(F500="",IF(D500="",B500,D500),F500),H500),J500),L500)</f>
        <v>CUENTA POR PAGAR AL INSTITUTO VENEZOLANO DE LOS SEGUROS SOCIALES (IVSS)</v>
      </c>
      <c r="O500" s="4">
        <f t="shared" si="46"/>
        <v>3</v>
      </c>
      <c r="P500" s="36" t="s">
        <v>769</v>
      </c>
      <c r="Q500" s="4" t="str">
        <f t="shared" ref="Q500:Q501" si="55">CONCATENATE(TEXT(A500,"0"),"-",TEXT(C500,"0"),"-",TEXT(E500,"0"),"-",TEXT(LEFT(G500,2),"00"),"-",TEXT(RIGHT(G500,1),"0"),TEXT(I500,"0"),"-",TEXT(K500,"00"),"-",TEXT(O500,"000"))</f>
        <v>2-1-0-13-30-01-003</v>
      </c>
      <c r="R500" s="4" t="str">
        <f t="shared" si="47"/>
        <v>RETENCIONES LABORALES POR PAGAR AL INSTITUTO VENEZOLANO DE LOS SEGUROS SOCIALES (IVSS) AL PERSONAL CONTRATADO</v>
      </c>
    </row>
    <row r="501" spans="1:18" ht="25.5" x14ac:dyDescent="0.2">
      <c r="A501" s="1">
        <v>2</v>
      </c>
      <c r="B501" s="6" t="str">
        <f>VLOOKUP(A501,'ACTIVOS CODIGO'!A:B,2,0)</f>
        <v>PASIVO</v>
      </c>
      <c r="C501" s="2">
        <v>1</v>
      </c>
      <c r="D501" s="7" t="str">
        <f>VLOOKUP(C501,'ACTIVOS CODIGO'!H:I,2,0)</f>
        <v>PASIVO DEL TESORO = PASIVO CORRIENTE</v>
      </c>
      <c r="E501" s="3"/>
      <c r="F501" s="8"/>
      <c r="G501" s="10">
        <v>133</v>
      </c>
      <c r="H501" s="10" t="str">
        <f>VLOOKUP(G501,'PUB 21'!$A$1:$B$29,2,0)</f>
        <v>DEPOSITOS DE TERCEROS</v>
      </c>
      <c r="J501" s="35"/>
      <c r="K501" s="18">
        <v>1</v>
      </c>
      <c r="L501" s="35" t="s">
        <v>516</v>
      </c>
      <c r="M501" s="27" t="str">
        <f t="shared" si="53"/>
        <v>2-1-0-13-30-01</v>
      </c>
      <c r="N501" s="27" t="str">
        <f t="shared" si="54"/>
        <v>CUENTA POR PAGAR AL INSTITUTO VENEZOLANO DE LOS SEGUROS SOCIALES (IVSS)</v>
      </c>
      <c r="O501" s="4">
        <f t="shared" si="46"/>
        <v>4</v>
      </c>
      <c r="P501" s="37" t="s">
        <v>770</v>
      </c>
      <c r="Q501" s="4" t="str">
        <f t="shared" si="55"/>
        <v>2-1-0-13-30-01-004</v>
      </c>
      <c r="R501" s="4" t="str">
        <f t="shared" si="47"/>
        <v>APORTES PATRONALES POR PAGAR AL INSTITUTO VENEZOLANO DE LOS SEGUROS SOCIALES (IVSS) DEL PERSONAL CONTRATADO</v>
      </c>
    </row>
    <row r="502" spans="1:18" x14ac:dyDescent="0.2">
      <c r="A502" s="1">
        <v>2</v>
      </c>
      <c r="B502" s="6" t="str">
        <f>VLOOKUP(A502,'ACTIVOS CODIGO'!A:B,2,0)</f>
        <v>PASIVO</v>
      </c>
      <c r="C502" s="2">
        <v>1</v>
      </c>
      <c r="D502" s="7" t="str">
        <f>VLOOKUP(C502,'ACTIVOS CODIGO'!H:I,2,0)</f>
        <v>PASIVO DEL TESORO = PASIVO CORRIENTE</v>
      </c>
      <c r="E502" s="3"/>
      <c r="F502" s="8"/>
      <c r="G502" s="10">
        <v>133</v>
      </c>
      <c r="H502" s="10" t="str">
        <f>VLOOKUP(G502,'PUB 21'!$A$1:$B$29,2,0)</f>
        <v>DEPOSITOS DE TERCEROS</v>
      </c>
      <c r="J502" s="35"/>
      <c r="K502" s="18">
        <v>1</v>
      </c>
      <c r="L502" s="35" t="s">
        <v>516</v>
      </c>
      <c r="M502" s="27" t="str">
        <f t="shared" si="49"/>
        <v>2-1-0-13-30-01</v>
      </c>
      <c r="N502" s="27" t="str">
        <f t="shared" si="50"/>
        <v>CUENTA POR PAGAR AL INSTITUTO VENEZOLANO DE LOS SEGUROS SOCIALES (IVSS)</v>
      </c>
      <c r="O502" s="4">
        <f t="shared" si="46"/>
        <v>5</v>
      </c>
      <c r="P502" s="4" t="s">
        <v>522</v>
      </c>
      <c r="Q502" s="4" t="str">
        <f t="shared" si="52"/>
        <v>2-1-0-13-30-01-005</v>
      </c>
      <c r="R502" s="4" t="str">
        <f t="shared" si="47"/>
        <v>RETENCIONES LABORALES POR PAGAR AL INSTITUTO VENEZOLANO DE LOS SEGUROS SOCIALES (IVSS) AL PERSONAL OBRERO</v>
      </c>
    </row>
    <row r="503" spans="1:18" x14ac:dyDescent="0.2">
      <c r="A503" s="1">
        <v>2</v>
      </c>
      <c r="B503" s="6" t="str">
        <f>VLOOKUP(A503,'ACTIVOS CODIGO'!A:B,2,0)</f>
        <v>PASIVO</v>
      </c>
      <c r="C503" s="2">
        <v>1</v>
      </c>
      <c r="D503" s="7" t="str">
        <f>VLOOKUP(C503,'ACTIVOS CODIGO'!H:I,2,0)</f>
        <v>PASIVO DEL TESORO = PASIVO CORRIENTE</v>
      </c>
      <c r="E503" s="3"/>
      <c r="F503" s="8"/>
      <c r="G503" s="10">
        <v>133</v>
      </c>
      <c r="H503" s="10" t="str">
        <f>VLOOKUP(G503,'PUB 21'!$A$1:$B$29,2,0)</f>
        <v>DEPOSITOS DE TERCEROS</v>
      </c>
      <c r="J503" s="35"/>
      <c r="K503" s="18">
        <v>1</v>
      </c>
      <c r="L503" s="35" t="s">
        <v>516</v>
      </c>
      <c r="M503" s="27" t="str">
        <f t="shared" si="49"/>
        <v>2-1-0-13-30-01</v>
      </c>
      <c r="N503" s="27" t="str">
        <f t="shared" si="50"/>
        <v>CUENTA POR PAGAR AL INSTITUTO VENEZOLANO DE LOS SEGUROS SOCIALES (IVSS)</v>
      </c>
      <c r="O503" s="4">
        <f t="shared" si="46"/>
        <v>6</v>
      </c>
      <c r="P503" s="4" t="s">
        <v>523</v>
      </c>
      <c r="Q503" s="4" t="str">
        <f t="shared" si="52"/>
        <v>2-1-0-13-30-01-006</v>
      </c>
      <c r="R503" s="4" t="str">
        <f t="shared" si="47"/>
        <v>APORTES PATRONALES POR PAGAR AL INSTITUTO VENEZOLANO DE LOS SEGUROS SOCIALES (IVSS) AL PERSONAL OBRERO</v>
      </c>
    </row>
    <row r="504" spans="1:18" x14ac:dyDescent="0.2">
      <c r="A504" s="1">
        <v>2</v>
      </c>
      <c r="B504" s="6" t="str">
        <f>VLOOKUP(A504,'ACTIVOS CODIGO'!A:B,2,0)</f>
        <v>PASIVO</v>
      </c>
      <c r="C504" s="2">
        <v>1</v>
      </c>
      <c r="D504" s="7" t="str">
        <f>VLOOKUP(C504,'ACTIVOS CODIGO'!H:I,2,0)</f>
        <v>PASIVO DEL TESORO = PASIVO CORRIENTE</v>
      </c>
      <c r="E504" s="3"/>
      <c r="F504" s="8"/>
      <c r="G504" s="10">
        <v>133</v>
      </c>
      <c r="H504" s="10" t="str">
        <f>VLOOKUP(G504,'PUB 21'!$A$1:$B$29,2,0)</f>
        <v>DEPOSITOS DE TERCEROS</v>
      </c>
      <c r="J504" s="35"/>
      <c r="K504" s="18">
        <v>1</v>
      </c>
      <c r="L504" s="35" t="s">
        <v>516</v>
      </c>
      <c r="M504" s="27" t="str">
        <f t="shared" ref="M504:M505" si="56">CONCATENATE(TEXT(A504,"0"),"-",TEXT(C504,"0"),"-",TEXT(E504,"0"),"-",TEXT(LEFT(G504,2),"00"),"-",TEXT(RIGHT(G504,1),"0"),TEXT(I504,"0"),"-",TEXT(K504,"00"))</f>
        <v>2-1-0-13-30-01</v>
      </c>
      <c r="N504" s="27" t="str">
        <f t="shared" ref="N504:N505" si="57">IF(L504="",IF(J504="",IF(H504="",IF(F504="",IF(D504="",B504,D504),F504),H504),J504),L504)</f>
        <v>CUENTA POR PAGAR AL INSTITUTO VENEZOLANO DE LOS SEGUROS SOCIALES (IVSS)</v>
      </c>
      <c r="O504" s="4">
        <f t="shared" si="46"/>
        <v>7</v>
      </c>
      <c r="P504" s="4" t="s">
        <v>852</v>
      </c>
      <c r="Q504" s="4" t="str">
        <f t="shared" ref="Q504:Q505" si="58">CONCATENATE(TEXT(A504,"0"),"-",TEXT(C504,"0"),"-",TEXT(E504,"0"),"-",TEXT(LEFT(G504,2),"00"),"-",TEXT(RIGHT(G504,1),"0"),TEXT(I504,"0"),"-",TEXT(K504,"00"),"-",TEXT(O504,"000"))</f>
        <v>2-1-0-13-30-01-007</v>
      </c>
      <c r="R504" s="4" t="str">
        <f t="shared" ref="R504:R505" si="59">IF(P504="",IF(L504="",IF(J504="",IF(H504="",IF(F504="",IF(D504="",B504,D504),F504),H504),J504),L504),P504)</f>
        <v>RETENCIONES LABORALES POR PAGAR AL INSTITUTO VENEZOLANO DE LOS SEGUROS SOCIALES (IVSS) AL PERSONAL DIRECCION Y CONFIANZA</v>
      </c>
    </row>
    <row r="505" spans="1:18" x14ac:dyDescent="0.2">
      <c r="A505" s="1">
        <v>2</v>
      </c>
      <c r="B505" s="6" t="str">
        <f>VLOOKUP(A505,'ACTIVOS CODIGO'!A:B,2,0)</f>
        <v>PASIVO</v>
      </c>
      <c r="C505" s="2">
        <v>1</v>
      </c>
      <c r="D505" s="7" t="str">
        <f>VLOOKUP(C505,'ACTIVOS CODIGO'!H:I,2,0)</f>
        <v>PASIVO DEL TESORO = PASIVO CORRIENTE</v>
      </c>
      <c r="E505" s="3"/>
      <c r="F505" s="8"/>
      <c r="G505" s="10">
        <v>133</v>
      </c>
      <c r="H505" s="10" t="str">
        <f>VLOOKUP(G505,'PUB 21'!$A$1:$B$29,2,0)</f>
        <v>DEPOSITOS DE TERCEROS</v>
      </c>
      <c r="J505" s="35"/>
      <c r="K505" s="18">
        <v>1</v>
      </c>
      <c r="L505" s="35" t="s">
        <v>516</v>
      </c>
      <c r="M505" s="27" t="str">
        <f t="shared" si="56"/>
        <v>2-1-0-13-30-01</v>
      </c>
      <c r="N505" s="27" t="str">
        <f t="shared" si="57"/>
        <v>CUENTA POR PAGAR AL INSTITUTO VENEZOLANO DE LOS SEGUROS SOCIALES (IVSS)</v>
      </c>
      <c r="O505" s="4">
        <f t="shared" ref="O505:O568" si="60">IF(P505="",0,IF(M504=M505,IF(O504="",0,O504)+1,""))</f>
        <v>8</v>
      </c>
      <c r="P505" s="4" t="s">
        <v>853</v>
      </c>
      <c r="Q505" s="4" t="str">
        <f t="shared" si="58"/>
        <v>2-1-0-13-30-01-008</v>
      </c>
      <c r="R505" s="4" t="str">
        <f t="shared" si="59"/>
        <v>APORTES PATRONALES POR PAGAR AL INSTITUTO VENEZOLANO DE LOS SEGUROS SOCIALES (IVSS) AL PERSONAL DIRECCION Y CONFIANZA</v>
      </c>
    </row>
    <row r="506" spans="1:18" x14ac:dyDescent="0.2">
      <c r="A506" s="1">
        <v>2</v>
      </c>
      <c r="B506" s="6" t="str">
        <f>VLOOKUP(A506,'ACTIVOS CODIGO'!A:B,2,0)</f>
        <v>PASIVO</v>
      </c>
      <c r="C506" s="2">
        <v>1</v>
      </c>
      <c r="D506" s="7" t="str">
        <f>VLOOKUP(C506,'ACTIVOS CODIGO'!H:I,2,0)</f>
        <v>PASIVO DEL TESORO = PASIVO CORRIENTE</v>
      </c>
      <c r="E506" s="3"/>
      <c r="F506" s="8"/>
      <c r="G506" s="10">
        <v>133</v>
      </c>
      <c r="H506" s="10" t="str">
        <f>VLOOKUP(G506,'PUB 21'!$A$1:$B$29,2,0)</f>
        <v>DEPOSITOS DE TERCEROS</v>
      </c>
      <c r="J506" s="35"/>
      <c r="K506" s="18">
        <v>1</v>
      </c>
      <c r="L506" s="35" t="s">
        <v>516</v>
      </c>
      <c r="M506" s="27" t="str">
        <f t="shared" si="49"/>
        <v>2-1-0-13-30-01</v>
      </c>
      <c r="N506" s="27" t="str">
        <f t="shared" si="50"/>
        <v>CUENTA POR PAGAR AL INSTITUTO VENEZOLANO DE LOS SEGUROS SOCIALES (IVSS)</v>
      </c>
      <c r="O506" s="4">
        <f t="shared" si="60"/>
        <v>9</v>
      </c>
      <c r="P506" s="4" t="s">
        <v>524</v>
      </c>
      <c r="Q506" s="4" t="str">
        <f t="shared" si="52"/>
        <v>2-1-0-13-30-01-009</v>
      </c>
      <c r="R506" s="4" t="str">
        <f t="shared" ref="R506:R518" si="61">IF(P506="",IF(L506="",IF(J506="",IF(H506="",IF(F506="",IF(D506="",B506,D506),F506),H506),J506),L506),P506)</f>
        <v>RETENCIONES LABORALES POR PAGAR AL REGIMEN PRESTACIONAL DE EMPLEO AL PERSONAL EMPLEADO</v>
      </c>
    </row>
    <row r="507" spans="1:18" x14ac:dyDescent="0.2">
      <c r="A507" s="1">
        <v>2</v>
      </c>
      <c r="B507" s="6" t="str">
        <f>VLOOKUP(A507,'ACTIVOS CODIGO'!A:B,2,0)</f>
        <v>PASIVO</v>
      </c>
      <c r="C507" s="2">
        <v>1</v>
      </c>
      <c r="D507" s="7" t="str">
        <f>VLOOKUP(C507,'ACTIVOS CODIGO'!H:I,2,0)</f>
        <v>PASIVO DEL TESORO = PASIVO CORRIENTE</v>
      </c>
      <c r="E507" s="3"/>
      <c r="F507" s="8"/>
      <c r="G507" s="10">
        <v>133</v>
      </c>
      <c r="H507" s="10" t="str">
        <f>VLOOKUP(G507,'PUB 21'!$A$1:$B$29,2,0)</f>
        <v>DEPOSITOS DE TERCEROS</v>
      </c>
      <c r="J507" s="35"/>
      <c r="K507" s="18">
        <v>1</v>
      </c>
      <c r="L507" s="35" t="s">
        <v>516</v>
      </c>
      <c r="M507" s="27" t="str">
        <f t="shared" si="49"/>
        <v>2-1-0-13-30-01</v>
      </c>
      <c r="N507" s="27" t="str">
        <f t="shared" si="50"/>
        <v>CUENTA POR PAGAR AL INSTITUTO VENEZOLANO DE LOS SEGUROS SOCIALES (IVSS)</v>
      </c>
      <c r="O507" s="4">
        <f t="shared" si="60"/>
        <v>10</v>
      </c>
      <c r="P507" s="4" t="s">
        <v>525</v>
      </c>
      <c r="Q507" s="4" t="str">
        <f t="shared" si="52"/>
        <v>2-1-0-13-30-01-010</v>
      </c>
      <c r="R507" s="4" t="str">
        <f t="shared" si="61"/>
        <v>APORTES POR PAGAR AL REGIMEN PRESTACIONAL DE EMPLEO AL PERSONAL EMPLEADO</v>
      </c>
    </row>
    <row r="508" spans="1:18" x14ac:dyDescent="0.2">
      <c r="A508" s="1">
        <v>2</v>
      </c>
      <c r="B508" s="6" t="str">
        <f>VLOOKUP(A508,'ACTIVOS CODIGO'!A:B,2,0)</f>
        <v>PASIVO</v>
      </c>
      <c r="C508" s="2">
        <v>1</v>
      </c>
      <c r="D508" s="7" t="str">
        <f>VLOOKUP(C508,'ACTIVOS CODIGO'!H:I,2,0)</f>
        <v>PASIVO DEL TESORO = PASIVO CORRIENTE</v>
      </c>
      <c r="E508" s="3"/>
      <c r="F508" s="8"/>
      <c r="G508" s="10">
        <v>133</v>
      </c>
      <c r="H508" s="10" t="str">
        <f>VLOOKUP(G508,'PUB 21'!$A$1:$B$29,2,0)</f>
        <v>DEPOSITOS DE TERCEROS</v>
      </c>
      <c r="J508" s="35"/>
      <c r="K508" s="18">
        <v>1</v>
      </c>
      <c r="L508" s="35" t="s">
        <v>516</v>
      </c>
      <c r="M508" s="27" t="str">
        <f t="shared" si="49"/>
        <v>2-1-0-13-30-01</v>
      </c>
      <c r="N508" s="27" t="str">
        <f t="shared" si="50"/>
        <v>CUENTA POR PAGAR AL INSTITUTO VENEZOLANO DE LOS SEGUROS SOCIALES (IVSS)</v>
      </c>
      <c r="O508" s="4">
        <f t="shared" si="60"/>
        <v>11</v>
      </c>
      <c r="P508" s="4" t="s">
        <v>526</v>
      </c>
      <c r="Q508" s="4" t="str">
        <f t="shared" si="52"/>
        <v>2-1-0-13-30-01-011</v>
      </c>
      <c r="R508" s="4" t="str">
        <f t="shared" si="61"/>
        <v>RETENCIONES LABORALES POR PAGAR AL REGIMEN PRESTACIONAL DE EMPLEO AL PERSONAL OBRERO</v>
      </c>
    </row>
    <row r="509" spans="1:18" x14ac:dyDescent="0.2">
      <c r="A509" s="1">
        <v>2</v>
      </c>
      <c r="B509" s="6" t="str">
        <f>VLOOKUP(A509,'ACTIVOS CODIGO'!A:B,2,0)</f>
        <v>PASIVO</v>
      </c>
      <c r="C509" s="2">
        <v>1</v>
      </c>
      <c r="D509" s="7" t="str">
        <f>VLOOKUP(C509,'ACTIVOS CODIGO'!H:I,2,0)</f>
        <v>PASIVO DEL TESORO = PASIVO CORRIENTE</v>
      </c>
      <c r="E509" s="3"/>
      <c r="F509" s="8"/>
      <c r="G509" s="10">
        <v>133</v>
      </c>
      <c r="H509" s="10" t="str">
        <f>VLOOKUP(G509,'PUB 21'!$A$1:$B$29,2,0)</f>
        <v>DEPOSITOS DE TERCEROS</v>
      </c>
      <c r="J509" s="35"/>
      <c r="K509" s="18">
        <v>1</v>
      </c>
      <c r="L509" s="35" t="s">
        <v>516</v>
      </c>
      <c r="M509" s="27" t="str">
        <f t="shared" si="49"/>
        <v>2-1-0-13-30-01</v>
      </c>
      <c r="N509" s="27" t="str">
        <f t="shared" si="50"/>
        <v>CUENTA POR PAGAR AL INSTITUTO VENEZOLANO DE LOS SEGUROS SOCIALES (IVSS)</v>
      </c>
      <c r="O509" s="4">
        <f t="shared" si="60"/>
        <v>12</v>
      </c>
      <c r="P509" s="4" t="s">
        <v>527</v>
      </c>
      <c r="Q509" s="4" t="str">
        <f t="shared" si="52"/>
        <v>2-1-0-13-30-01-012</v>
      </c>
      <c r="R509" s="4" t="str">
        <f t="shared" si="61"/>
        <v>APORTES POR PAGAR AL REGIMEN PRESTACIONAL DE EMPLEO PARA EL PERSONAL OBRERO</v>
      </c>
    </row>
    <row r="510" spans="1:18" x14ac:dyDescent="0.2">
      <c r="A510" s="1">
        <v>2</v>
      </c>
      <c r="B510" s="6" t="str">
        <f>VLOOKUP(A510,'ACTIVOS CODIGO'!A:B,2,0)</f>
        <v>PASIVO</v>
      </c>
      <c r="C510" s="2">
        <v>1</v>
      </c>
      <c r="D510" s="7" t="str">
        <f>VLOOKUP(C510,'ACTIVOS CODIGO'!H:I,2,0)</f>
        <v>PASIVO DEL TESORO = PASIVO CORRIENTE</v>
      </c>
      <c r="E510" s="3"/>
      <c r="F510" s="8"/>
      <c r="G510" s="10">
        <v>133</v>
      </c>
      <c r="H510" s="10" t="str">
        <f>VLOOKUP(G510,'PUB 21'!$A$1:$B$29,2,0)</f>
        <v>DEPOSITOS DE TERCEROS</v>
      </c>
      <c r="J510" s="35"/>
      <c r="K510" s="18">
        <v>1</v>
      </c>
      <c r="L510" s="35" t="s">
        <v>516</v>
      </c>
      <c r="M510" s="27" t="str">
        <f t="shared" ref="M510:M511" si="62">CONCATENATE(TEXT(A510,"0"),"-",TEXT(C510,"0"),"-",TEXT(E510,"0"),"-",TEXT(LEFT(G510,2),"00"),"-",TEXT(RIGHT(G510,1),"0"),TEXT(I510,"0"),"-",TEXT(K510,"00"))</f>
        <v>2-1-0-13-30-01</v>
      </c>
      <c r="N510" s="27" t="str">
        <f t="shared" ref="N510:N511" si="63">IF(L510="",IF(J510="",IF(H510="",IF(F510="",IF(D510="",B510,D510),F510),H510),J510),L510)</f>
        <v>CUENTA POR PAGAR AL INSTITUTO VENEZOLANO DE LOS SEGUROS SOCIALES (IVSS)</v>
      </c>
      <c r="O510" s="4">
        <f t="shared" si="60"/>
        <v>13</v>
      </c>
      <c r="P510" s="4" t="s">
        <v>771</v>
      </c>
      <c r="Q510" s="4" t="str">
        <f t="shared" ref="Q510:Q511" si="64">CONCATENATE(TEXT(A510,"0"),"-",TEXT(C510,"0"),"-",TEXT(E510,"0"),"-",TEXT(LEFT(G510,2),"00"),"-",TEXT(RIGHT(G510,1),"0"),TEXT(I510,"0"),"-",TEXT(K510,"00"),"-",TEXT(O510,"000"))</f>
        <v>2-1-0-13-30-01-013</v>
      </c>
      <c r="R510" s="4" t="str">
        <f t="shared" si="61"/>
        <v>RETENCIONES LABORALES POR PAGAR AL REGIMEN PRESTACIONAL DE EMPLEO AL PERSONAL CONTRATADO</v>
      </c>
    </row>
    <row r="511" spans="1:18" x14ac:dyDescent="0.2">
      <c r="A511" s="1">
        <v>2</v>
      </c>
      <c r="B511" s="6" t="str">
        <f>VLOOKUP(A511,'ACTIVOS CODIGO'!A:B,2,0)</f>
        <v>PASIVO</v>
      </c>
      <c r="C511" s="2">
        <v>1</v>
      </c>
      <c r="D511" s="7" t="str">
        <f>VLOOKUP(C511,'ACTIVOS CODIGO'!H:I,2,0)</f>
        <v>PASIVO DEL TESORO = PASIVO CORRIENTE</v>
      </c>
      <c r="E511" s="3"/>
      <c r="F511" s="8"/>
      <c r="G511" s="10">
        <v>133</v>
      </c>
      <c r="H511" s="10" t="str">
        <f>VLOOKUP(G511,'PUB 21'!$A$1:$B$29,2,0)</f>
        <v>DEPOSITOS DE TERCEROS</v>
      </c>
      <c r="J511" s="35"/>
      <c r="K511" s="18">
        <v>1</v>
      </c>
      <c r="L511" s="35" t="s">
        <v>516</v>
      </c>
      <c r="M511" s="27" t="str">
        <f t="shared" si="62"/>
        <v>2-1-0-13-30-01</v>
      </c>
      <c r="N511" s="27" t="str">
        <f t="shared" si="63"/>
        <v>CUENTA POR PAGAR AL INSTITUTO VENEZOLANO DE LOS SEGUROS SOCIALES (IVSS)</v>
      </c>
      <c r="O511" s="4">
        <f t="shared" si="60"/>
        <v>14</v>
      </c>
      <c r="P511" s="4" t="s">
        <v>772</v>
      </c>
      <c r="Q511" s="4" t="str">
        <f t="shared" si="64"/>
        <v>2-1-0-13-30-01-014</v>
      </c>
      <c r="R511" s="4" t="str">
        <f t="shared" si="61"/>
        <v>APORTES POR PAGAR AL REGIMEN PRESTACIONAL DE EMPLEO AL PERSONAL CONTRATADO</v>
      </c>
    </row>
    <row r="512" spans="1:18" x14ac:dyDescent="0.2">
      <c r="A512" s="1">
        <v>2</v>
      </c>
      <c r="B512" s="6" t="str">
        <f>VLOOKUP(A512,'ACTIVOS CODIGO'!A:B,2,0)</f>
        <v>PASIVO</v>
      </c>
      <c r="C512" s="2">
        <v>1</v>
      </c>
      <c r="D512" s="7" t="str">
        <f>VLOOKUP(C512,'ACTIVOS CODIGO'!H:I,2,0)</f>
        <v>PASIVO DEL TESORO = PASIVO CORRIENTE</v>
      </c>
      <c r="E512" s="3"/>
      <c r="F512" s="8"/>
      <c r="G512" s="10">
        <v>133</v>
      </c>
      <c r="H512" s="10" t="str">
        <f>VLOOKUP(G512,'PUB 21'!$A$1:$B$29,2,0)</f>
        <v>DEPOSITOS DE TERCEROS</v>
      </c>
      <c r="J512" s="35"/>
      <c r="K512" s="18">
        <v>1</v>
      </c>
      <c r="L512" s="35" t="s">
        <v>516</v>
      </c>
      <c r="M512" s="27" t="str">
        <f t="shared" ref="M512:M513" si="65">CONCATENATE(TEXT(A512,"0"),"-",TEXT(C512,"0"),"-",TEXT(E512,"0"),"-",TEXT(LEFT(G512,2),"00"),"-",TEXT(RIGHT(G512,1),"0"),TEXT(I512,"0"),"-",TEXT(K512,"00"))</f>
        <v>2-1-0-13-30-01</v>
      </c>
      <c r="N512" s="27" t="str">
        <f t="shared" ref="N512:N513" si="66">IF(L512="",IF(J512="",IF(H512="",IF(F512="",IF(D512="",B512,D512),F512),H512),J512),L512)</f>
        <v>CUENTA POR PAGAR AL INSTITUTO VENEZOLANO DE LOS SEGUROS SOCIALES (IVSS)</v>
      </c>
      <c r="O512" s="4">
        <f t="shared" si="60"/>
        <v>15</v>
      </c>
      <c r="P512" s="4" t="s">
        <v>850</v>
      </c>
      <c r="Q512" s="4" t="str">
        <f t="shared" ref="Q512:Q513" si="67">CONCATENATE(TEXT(A512,"0"),"-",TEXT(C512,"0"),"-",TEXT(E512,"0"),"-",TEXT(LEFT(G512,2),"00"),"-",TEXT(RIGHT(G512,1),"0"),TEXT(I512,"0"),"-",TEXT(K512,"00"),"-",TEXT(O512,"000"))</f>
        <v>2-1-0-13-30-01-015</v>
      </c>
      <c r="R512" s="4" t="str">
        <f t="shared" ref="R512:R513" si="68">IF(P512="",IF(L512="",IF(J512="",IF(H512="",IF(F512="",IF(D512="",B512,D512),F512),H512),J512),L512),P512)</f>
        <v>RETENCIONES LABORALES POR PAGAR AL REGIMEN PRESTACIONAL DE EMPLEO AL PERSONAL DIRECCION Y CONFIANZA</v>
      </c>
    </row>
    <row r="513" spans="1:18" x14ac:dyDescent="0.2">
      <c r="A513" s="1">
        <v>2</v>
      </c>
      <c r="B513" s="6" t="str">
        <f>VLOOKUP(A513,'ACTIVOS CODIGO'!A:B,2,0)</f>
        <v>PASIVO</v>
      </c>
      <c r="C513" s="2">
        <v>1</v>
      </c>
      <c r="D513" s="7" t="str">
        <f>VLOOKUP(C513,'ACTIVOS CODIGO'!H:I,2,0)</f>
        <v>PASIVO DEL TESORO = PASIVO CORRIENTE</v>
      </c>
      <c r="E513" s="3"/>
      <c r="F513" s="8"/>
      <c r="G513" s="10">
        <v>133</v>
      </c>
      <c r="H513" s="10" t="str">
        <f>VLOOKUP(G513,'PUB 21'!$A$1:$B$29,2,0)</f>
        <v>DEPOSITOS DE TERCEROS</v>
      </c>
      <c r="J513" s="35"/>
      <c r="K513" s="18">
        <v>1</v>
      </c>
      <c r="L513" s="35" t="s">
        <v>516</v>
      </c>
      <c r="M513" s="27" t="str">
        <f t="shared" si="65"/>
        <v>2-1-0-13-30-01</v>
      </c>
      <c r="N513" s="27" t="str">
        <f t="shared" si="66"/>
        <v>CUENTA POR PAGAR AL INSTITUTO VENEZOLANO DE LOS SEGUROS SOCIALES (IVSS)</v>
      </c>
      <c r="O513" s="4">
        <f t="shared" si="60"/>
        <v>16</v>
      </c>
      <c r="P513" s="4" t="s">
        <v>851</v>
      </c>
      <c r="Q513" s="4" t="str">
        <f t="shared" si="67"/>
        <v>2-1-0-13-30-01-016</v>
      </c>
      <c r="R513" s="4" t="str">
        <f t="shared" si="68"/>
        <v>APORTES POR PAGAR AL REGIMEN PRESTACIONAL DE EMPLEO AL PERSONAL DIRECCION Y CONFIANZA</v>
      </c>
    </row>
    <row r="514" spans="1:18" x14ac:dyDescent="0.2">
      <c r="A514" s="1">
        <v>2</v>
      </c>
      <c r="B514" s="6" t="str">
        <f>VLOOKUP(A514,'ACTIVOS CODIGO'!A:B,2,0)</f>
        <v>PASIVO</v>
      </c>
      <c r="C514" s="2">
        <v>1</v>
      </c>
      <c r="D514" s="7" t="str">
        <f>VLOOKUP(C514,'ACTIVOS CODIGO'!H:I,2,0)</f>
        <v>PASIVO DEL TESORO = PASIVO CORRIENTE</v>
      </c>
      <c r="E514" s="3"/>
      <c r="F514" s="8"/>
      <c r="G514" s="10">
        <v>133</v>
      </c>
      <c r="H514" s="10" t="str">
        <f>VLOOKUP(G514,'PUB 21'!$A$1:$B$29,2,0)</f>
        <v>DEPOSITOS DE TERCEROS</v>
      </c>
      <c r="J514" s="35"/>
      <c r="K514" s="18">
        <v>2</v>
      </c>
      <c r="L514" s="35" t="s">
        <v>517</v>
      </c>
      <c r="M514" s="27" t="str">
        <f t="shared" si="49"/>
        <v>2-1-0-13-30-02</v>
      </c>
      <c r="N514" s="27" t="str">
        <f t="shared" si="50"/>
        <v>CUENTA POR PAGAR AL FONDO DE AHORRO HABITACIONAL</v>
      </c>
      <c r="O514" s="4">
        <f t="shared" si="60"/>
        <v>0</v>
      </c>
      <c r="Q514" s="4" t="str">
        <f t="shared" si="52"/>
        <v>2-1-0-13-30-02-000</v>
      </c>
      <c r="R514" s="4" t="str">
        <f t="shared" si="61"/>
        <v>CUENTA POR PAGAR AL FONDO DE AHORRO HABITACIONAL</v>
      </c>
    </row>
    <row r="515" spans="1:18" x14ac:dyDescent="0.2">
      <c r="A515" s="1">
        <v>2</v>
      </c>
      <c r="B515" s="6" t="str">
        <f>VLOOKUP(A515,'ACTIVOS CODIGO'!A:B,2,0)</f>
        <v>PASIVO</v>
      </c>
      <c r="C515" s="2">
        <v>1</v>
      </c>
      <c r="D515" s="7" t="str">
        <f>VLOOKUP(C515,'ACTIVOS CODIGO'!H:I,2,0)</f>
        <v>PASIVO DEL TESORO = PASIVO CORRIENTE</v>
      </c>
      <c r="E515" s="3"/>
      <c r="F515" s="8"/>
      <c r="G515" s="10">
        <v>133</v>
      </c>
      <c r="H515" s="10" t="str">
        <f>VLOOKUP(G515,'PUB 21'!$A$1:$B$29,2,0)</f>
        <v>DEPOSITOS DE TERCEROS</v>
      </c>
      <c r="J515" s="35"/>
      <c r="K515" s="18">
        <v>2</v>
      </c>
      <c r="L515" s="35" t="s">
        <v>517</v>
      </c>
      <c r="M515" s="27" t="str">
        <f t="shared" si="49"/>
        <v>2-1-0-13-30-02</v>
      </c>
      <c r="N515" s="27" t="str">
        <f t="shared" si="50"/>
        <v>CUENTA POR PAGAR AL FONDO DE AHORRO HABITACIONAL</v>
      </c>
      <c r="O515" s="4">
        <f t="shared" si="60"/>
        <v>1</v>
      </c>
      <c r="P515" s="4" t="s">
        <v>528</v>
      </c>
      <c r="Q515" s="4" t="str">
        <f t="shared" si="52"/>
        <v>2-1-0-13-30-02-001</v>
      </c>
      <c r="R515" s="4" t="str">
        <f t="shared" si="61"/>
        <v>RETENCIONES LABORALES POR PAGAR AL FONDO DE AHORRO HABITACIONAL DEL PERSONAL EMPLEADO</v>
      </c>
    </row>
    <row r="516" spans="1:18" x14ac:dyDescent="0.2">
      <c r="A516" s="1">
        <v>2</v>
      </c>
      <c r="B516" s="6" t="str">
        <f>VLOOKUP(A516,'ACTIVOS CODIGO'!A:B,2,0)</f>
        <v>PASIVO</v>
      </c>
      <c r="C516" s="2">
        <v>1</v>
      </c>
      <c r="D516" s="7" t="str">
        <f>VLOOKUP(C516,'ACTIVOS CODIGO'!H:I,2,0)</f>
        <v>PASIVO DEL TESORO = PASIVO CORRIENTE</v>
      </c>
      <c r="E516" s="3"/>
      <c r="F516" s="8"/>
      <c r="G516" s="10">
        <v>133</v>
      </c>
      <c r="H516" s="10" t="str">
        <f>VLOOKUP(G516,'PUB 21'!$A$1:$B$29,2,0)</f>
        <v>DEPOSITOS DE TERCEROS</v>
      </c>
      <c r="J516" s="35"/>
      <c r="K516" s="18">
        <v>2</v>
      </c>
      <c r="L516" s="35" t="s">
        <v>517</v>
      </c>
      <c r="M516" s="27" t="str">
        <f t="shared" si="49"/>
        <v>2-1-0-13-30-02</v>
      </c>
      <c r="N516" s="27" t="str">
        <f t="shared" si="50"/>
        <v>CUENTA POR PAGAR AL FONDO DE AHORRO HABITACIONAL</v>
      </c>
      <c r="O516" s="4">
        <f t="shared" si="60"/>
        <v>2</v>
      </c>
      <c r="P516" s="4" t="s">
        <v>529</v>
      </c>
      <c r="Q516" s="4" t="str">
        <f t="shared" si="52"/>
        <v>2-1-0-13-30-02-002</v>
      </c>
      <c r="R516" s="4" t="str">
        <f t="shared" si="61"/>
        <v>APORTES PATRONALES POR PAGAR AL FONDO DE AHORRO HABITACIONAL DEL  PERSONAL EMPLEADOS</v>
      </c>
    </row>
    <row r="517" spans="1:18" x14ac:dyDescent="0.2">
      <c r="A517" s="1">
        <v>2</v>
      </c>
      <c r="B517" s="6" t="str">
        <f>VLOOKUP(A517,'ACTIVOS CODIGO'!A:B,2,0)</f>
        <v>PASIVO</v>
      </c>
      <c r="C517" s="2">
        <v>1</v>
      </c>
      <c r="D517" s="7" t="str">
        <f>VLOOKUP(C517,'ACTIVOS CODIGO'!H:I,2,0)</f>
        <v>PASIVO DEL TESORO = PASIVO CORRIENTE</v>
      </c>
      <c r="E517" s="3"/>
      <c r="F517" s="8"/>
      <c r="G517" s="10">
        <v>133</v>
      </c>
      <c r="H517" s="10" t="str">
        <f>VLOOKUP(G517,'PUB 21'!$A$1:$B$29,2,0)</f>
        <v>DEPOSITOS DE TERCEROS</v>
      </c>
      <c r="J517" s="35"/>
      <c r="K517" s="18">
        <v>2</v>
      </c>
      <c r="L517" s="35" t="s">
        <v>517</v>
      </c>
      <c r="M517" s="27" t="str">
        <f t="shared" si="49"/>
        <v>2-1-0-13-30-02</v>
      </c>
      <c r="N517" s="27" t="str">
        <f t="shared" si="50"/>
        <v>CUENTA POR PAGAR AL FONDO DE AHORRO HABITACIONAL</v>
      </c>
      <c r="O517" s="4">
        <f t="shared" si="60"/>
        <v>3</v>
      </c>
      <c r="P517" s="4" t="s">
        <v>530</v>
      </c>
      <c r="Q517" s="4" t="str">
        <f t="shared" si="52"/>
        <v>2-1-0-13-30-02-003</v>
      </c>
      <c r="R517" s="4" t="str">
        <f t="shared" si="61"/>
        <v>RETENCIONES LABORALES POR PAGAR AL FONDO DE AHORRO HABITACIONAL DEL PERSONAL OBRERO</v>
      </c>
    </row>
    <row r="518" spans="1:18" x14ac:dyDescent="0.2">
      <c r="A518" s="1">
        <v>2</v>
      </c>
      <c r="B518" s="6" t="str">
        <f>VLOOKUP(A518,'ACTIVOS CODIGO'!A:B,2,0)</f>
        <v>PASIVO</v>
      </c>
      <c r="C518" s="2">
        <v>1</v>
      </c>
      <c r="D518" s="7" t="str">
        <f>VLOOKUP(C518,'ACTIVOS CODIGO'!H:I,2,0)</f>
        <v>PASIVO DEL TESORO = PASIVO CORRIENTE</v>
      </c>
      <c r="E518" s="3"/>
      <c r="F518" s="8"/>
      <c r="G518" s="10">
        <v>133</v>
      </c>
      <c r="H518" s="10" t="str">
        <f>VLOOKUP(G518,'PUB 21'!$A$1:$B$29,2,0)</f>
        <v>DEPOSITOS DE TERCEROS</v>
      </c>
      <c r="J518" s="35"/>
      <c r="K518" s="18">
        <v>2</v>
      </c>
      <c r="L518" s="35" t="s">
        <v>517</v>
      </c>
      <c r="M518" s="27" t="str">
        <f t="shared" si="49"/>
        <v>2-1-0-13-30-02</v>
      </c>
      <c r="N518" s="27" t="str">
        <f t="shared" si="50"/>
        <v>CUENTA POR PAGAR AL FONDO DE AHORRO HABITACIONAL</v>
      </c>
      <c r="O518" s="4">
        <f t="shared" si="60"/>
        <v>4</v>
      </c>
      <c r="P518" s="4" t="s">
        <v>531</v>
      </c>
      <c r="Q518" s="4" t="str">
        <f t="shared" si="52"/>
        <v>2-1-0-13-30-02-004</v>
      </c>
      <c r="R518" s="4" t="str">
        <f t="shared" si="61"/>
        <v>APORTES PATRONALES POR PAGAR AL FONDO DE AHORRO HABITACIONAL DEL PERSONAL OBRERO</v>
      </c>
    </row>
    <row r="519" spans="1:18" x14ac:dyDescent="0.2">
      <c r="A519" s="1">
        <v>2</v>
      </c>
      <c r="B519" s="6" t="str">
        <f>VLOOKUP(A519,'ACTIVOS CODIGO'!A:B,2,0)</f>
        <v>PASIVO</v>
      </c>
      <c r="C519" s="2">
        <v>1</v>
      </c>
      <c r="D519" s="7" t="str">
        <f>VLOOKUP(C519,'ACTIVOS CODIGO'!H:I,2,0)</f>
        <v>PASIVO DEL TESORO = PASIVO CORRIENTE</v>
      </c>
      <c r="E519" s="3"/>
      <c r="F519" s="8"/>
      <c r="G519" s="10">
        <v>133</v>
      </c>
      <c r="H519" s="10" t="str">
        <f>VLOOKUP(G519,'PUB 21'!$A$1:$B$29,2,0)</f>
        <v>DEPOSITOS DE TERCEROS</v>
      </c>
      <c r="J519" s="35"/>
      <c r="K519" s="18">
        <v>2</v>
      </c>
      <c r="L519" s="35" t="s">
        <v>517</v>
      </c>
      <c r="M519" s="27" t="str">
        <f t="shared" ref="M519:M520" si="69">CONCATENATE(TEXT(A519,"0"),"-",TEXT(C519,"0"),"-",TEXT(E519,"0"),"-",TEXT(LEFT(G519,2),"00"),"-",TEXT(RIGHT(G519,1),"0"),TEXT(I519,"0"),"-",TEXT(K519,"00"))</f>
        <v>2-1-0-13-30-02</v>
      </c>
      <c r="N519" s="27" t="str">
        <f t="shared" ref="N519:N520" si="70">IF(L519="",IF(J519="",IF(H519="",IF(F519="",IF(D519="",B519,D519),F519),H519),J519),L519)</f>
        <v>CUENTA POR PAGAR AL FONDO DE AHORRO HABITACIONAL</v>
      </c>
      <c r="O519" s="4">
        <f t="shared" si="60"/>
        <v>5</v>
      </c>
      <c r="P519" s="4" t="s">
        <v>773</v>
      </c>
      <c r="Q519" s="4" t="str">
        <f t="shared" ref="Q519:Q520" si="71">CONCATENATE(TEXT(A519,"0"),"-",TEXT(C519,"0"),"-",TEXT(E519,"0"),"-",TEXT(LEFT(G519,2),"00"),"-",TEXT(RIGHT(G519,1),"0"),TEXT(I519,"0"),"-",TEXT(K519,"00"),"-",TEXT(O519,"000"))</f>
        <v>2-1-0-13-30-02-005</v>
      </c>
      <c r="R519" s="4" t="str">
        <f t="shared" ref="R519:R520" si="72">IF(P519="",IF(L519="",IF(J519="",IF(H519="",IF(F519="",IF(D519="",B519,D519),F519),H519),J519),L519),P519)</f>
        <v>RETENCIONES LABORALES POR PAGAR AL FONDO DE AHORRO HABITACIONAL DEL PERSONAL CONTRATADO</v>
      </c>
    </row>
    <row r="520" spans="1:18" x14ac:dyDescent="0.2">
      <c r="A520" s="1">
        <v>2</v>
      </c>
      <c r="B520" s="6" t="str">
        <f>VLOOKUP(A520,'ACTIVOS CODIGO'!A:B,2,0)</f>
        <v>PASIVO</v>
      </c>
      <c r="C520" s="2">
        <v>1</v>
      </c>
      <c r="D520" s="7" t="str">
        <f>VLOOKUP(C520,'ACTIVOS CODIGO'!H:I,2,0)</f>
        <v>PASIVO DEL TESORO = PASIVO CORRIENTE</v>
      </c>
      <c r="E520" s="3"/>
      <c r="F520" s="8"/>
      <c r="G520" s="10">
        <v>133</v>
      </c>
      <c r="H520" s="10" t="str">
        <f>VLOOKUP(G520,'PUB 21'!$A$1:$B$29,2,0)</f>
        <v>DEPOSITOS DE TERCEROS</v>
      </c>
      <c r="J520" s="35"/>
      <c r="K520" s="18">
        <v>2</v>
      </c>
      <c r="L520" s="35" t="s">
        <v>517</v>
      </c>
      <c r="M520" s="27" t="str">
        <f t="shared" si="69"/>
        <v>2-1-0-13-30-02</v>
      </c>
      <c r="N520" s="27" t="str">
        <f t="shared" si="70"/>
        <v>CUENTA POR PAGAR AL FONDO DE AHORRO HABITACIONAL</v>
      </c>
      <c r="O520" s="4">
        <f t="shared" si="60"/>
        <v>6</v>
      </c>
      <c r="P520" s="4" t="s">
        <v>774</v>
      </c>
      <c r="Q520" s="4" t="str">
        <f t="shared" si="71"/>
        <v>2-1-0-13-30-02-006</v>
      </c>
      <c r="R520" s="4" t="str">
        <f t="shared" si="72"/>
        <v>APORTES PATRONALES POR PAGAR AL FONDO DE AHORRO HABITACIONAL DEL  PERSONAL CONTRATADOS</v>
      </c>
    </row>
    <row r="521" spans="1:18" x14ac:dyDescent="0.2">
      <c r="A521" s="1">
        <v>2</v>
      </c>
      <c r="B521" s="6" t="str">
        <f>VLOOKUP(A521,'ACTIVOS CODIGO'!A:B,2,0)</f>
        <v>PASIVO</v>
      </c>
      <c r="C521" s="2">
        <v>1</v>
      </c>
      <c r="D521" s="7" t="str">
        <f>VLOOKUP(C521,'ACTIVOS CODIGO'!H:I,2,0)</f>
        <v>PASIVO DEL TESORO = PASIVO CORRIENTE</v>
      </c>
      <c r="E521" s="3"/>
      <c r="F521" s="8"/>
      <c r="G521" s="10">
        <v>133</v>
      </c>
      <c r="H521" s="10" t="str">
        <f>VLOOKUP(G521,'PUB 21'!$A$1:$B$29,2,0)</f>
        <v>DEPOSITOS DE TERCEROS</v>
      </c>
      <c r="J521" s="35"/>
      <c r="K521" s="18">
        <v>2</v>
      </c>
      <c r="L521" s="35" t="s">
        <v>517</v>
      </c>
      <c r="M521" s="27" t="str">
        <f t="shared" ref="M521:M522" si="73">CONCATENATE(TEXT(A521,"0"),"-",TEXT(C521,"0"),"-",TEXT(E521,"0"),"-",TEXT(LEFT(G521,2),"00"),"-",TEXT(RIGHT(G521,1),"0"),TEXT(I521,"0"),"-",TEXT(K521,"00"))</f>
        <v>2-1-0-13-30-02</v>
      </c>
      <c r="N521" s="27" t="str">
        <f t="shared" ref="N521:N522" si="74">IF(L521="",IF(J521="",IF(H521="",IF(F521="",IF(D521="",B521,D521),F521),H521),J521),L521)</f>
        <v>CUENTA POR PAGAR AL FONDO DE AHORRO HABITACIONAL</v>
      </c>
      <c r="O521" s="4">
        <f t="shared" si="60"/>
        <v>7</v>
      </c>
      <c r="P521" s="4" t="s">
        <v>854</v>
      </c>
      <c r="Q521" s="4" t="str">
        <f t="shared" ref="Q521:Q522" si="75">CONCATENATE(TEXT(A521,"0"),"-",TEXT(C521,"0"),"-",TEXT(E521,"0"),"-",TEXT(LEFT(G521,2),"00"),"-",TEXT(RIGHT(G521,1),"0"),TEXT(I521,"0"),"-",TEXT(K521,"00"),"-",TEXT(O521,"000"))</f>
        <v>2-1-0-13-30-02-007</v>
      </c>
      <c r="R521" s="4" t="str">
        <f t="shared" ref="R521:R522" si="76">IF(P521="",IF(L521="",IF(J521="",IF(H521="",IF(F521="",IF(D521="",B521,D521),F521),H521),J521),L521),P521)</f>
        <v>RETENCIONES LABORALES POR PAGAR AL FONDO DE AHORRO HABITACIONAL DEL PERSONAL DIRECCION Y CONFIANZA</v>
      </c>
    </row>
    <row r="522" spans="1:18" x14ac:dyDescent="0.2">
      <c r="A522" s="1">
        <v>2</v>
      </c>
      <c r="B522" s="6" t="str">
        <f>VLOOKUP(A522,'ACTIVOS CODIGO'!A:B,2,0)</f>
        <v>PASIVO</v>
      </c>
      <c r="C522" s="2">
        <v>1</v>
      </c>
      <c r="D522" s="7" t="str">
        <f>VLOOKUP(C522,'ACTIVOS CODIGO'!H:I,2,0)</f>
        <v>PASIVO DEL TESORO = PASIVO CORRIENTE</v>
      </c>
      <c r="E522" s="3"/>
      <c r="F522" s="8"/>
      <c r="G522" s="10">
        <v>133</v>
      </c>
      <c r="H522" s="10" t="str">
        <f>VLOOKUP(G522,'PUB 21'!$A$1:$B$29,2,0)</f>
        <v>DEPOSITOS DE TERCEROS</v>
      </c>
      <c r="J522" s="35"/>
      <c r="K522" s="18">
        <v>2</v>
      </c>
      <c r="L522" s="35" t="s">
        <v>517</v>
      </c>
      <c r="M522" s="27" t="str">
        <f t="shared" si="73"/>
        <v>2-1-0-13-30-02</v>
      </c>
      <c r="N522" s="27" t="str">
        <f t="shared" si="74"/>
        <v>CUENTA POR PAGAR AL FONDO DE AHORRO HABITACIONAL</v>
      </c>
      <c r="O522" s="4">
        <f t="shared" si="60"/>
        <v>8</v>
      </c>
      <c r="P522" s="4" t="s">
        <v>855</v>
      </c>
      <c r="Q522" s="4" t="str">
        <f t="shared" si="75"/>
        <v>2-1-0-13-30-02-008</v>
      </c>
      <c r="R522" s="4" t="str">
        <f t="shared" si="76"/>
        <v>APORTES PATRONALES POR PAGAR AL FONDO DE AHORRO HABITACIONAL DEL  PERSONAL DIRECCION Y CONFIANZA</v>
      </c>
    </row>
    <row r="523" spans="1:18" x14ac:dyDescent="0.2">
      <c r="A523" s="1">
        <v>2</v>
      </c>
      <c r="B523" s="6" t="str">
        <f>VLOOKUP(A523,'ACTIVOS CODIGO'!A:B,2,0)</f>
        <v>PASIVO</v>
      </c>
      <c r="C523" s="2">
        <v>1</v>
      </c>
      <c r="D523" s="7" t="str">
        <f>VLOOKUP(C523,'ACTIVOS CODIGO'!H:I,2,0)</f>
        <v>PASIVO DEL TESORO = PASIVO CORRIENTE</v>
      </c>
      <c r="E523" s="3"/>
      <c r="F523" s="8"/>
      <c r="G523" s="10">
        <v>133</v>
      </c>
      <c r="H523" s="10" t="str">
        <f>VLOOKUP(G523,'PUB 21'!$A$1:$B$29,2,0)</f>
        <v>DEPOSITOS DE TERCEROS</v>
      </c>
      <c r="J523" s="35"/>
      <c r="K523" s="18">
        <v>3</v>
      </c>
      <c r="L523" s="35" t="s">
        <v>518</v>
      </c>
      <c r="M523" s="27" t="str">
        <f t="shared" si="49"/>
        <v>2-1-0-13-30-03</v>
      </c>
      <c r="N523" s="27" t="str">
        <f t="shared" si="50"/>
        <v>CUENTA POR PAGAR AL FONDO DE JUBILACIONES</v>
      </c>
      <c r="O523" s="4">
        <f t="shared" si="60"/>
        <v>0</v>
      </c>
      <c r="Q523" s="4" t="str">
        <f t="shared" si="52"/>
        <v>2-1-0-13-30-03-000</v>
      </c>
      <c r="R523" s="4" t="str">
        <f>IF(P523="",IF(L523="",IF(J523="",IF(H523="",IF(F523="",IF(D523="",B523,D523),F523),H523),J523),L523),P523)</f>
        <v>CUENTA POR PAGAR AL FONDO DE JUBILACIONES</v>
      </c>
    </row>
    <row r="524" spans="1:18" x14ac:dyDescent="0.2">
      <c r="A524" s="1">
        <v>2</v>
      </c>
      <c r="B524" s="6" t="str">
        <f>VLOOKUP(A524,'ACTIVOS CODIGO'!A:B,2,0)</f>
        <v>PASIVO</v>
      </c>
      <c r="C524" s="2">
        <v>1</v>
      </c>
      <c r="D524" s="7" t="str">
        <f>VLOOKUP(C524,'ACTIVOS CODIGO'!H:I,2,0)</f>
        <v>PASIVO DEL TESORO = PASIVO CORRIENTE</v>
      </c>
      <c r="E524" s="3"/>
      <c r="F524" s="8"/>
      <c r="G524" s="10">
        <v>133</v>
      </c>
      <c r="H524" s="10" t="str">
        <f>VLOOKUP(G524,'PUB 21'!$A$1:$B$29,2,0)</f>
        <v>DEPOSITOS DE TERCEROS</v>
      </c>
      <c r="J524" s="35"/>
      <c r="K524" s="18">
        <v>3</v>
      </c>
      <c r="L524" s="35" t="s">
        <v>518</v>
      </c>
      <c r="M524" s="27" t="str">
        <f t="shared" si="49"/>
        <v>2-1-0-13-30-03</v>
      </c>
      <c r="N524" s="27" t="str">
        <f t="shared" si="50"/>
        <v>CUENTA POR PAGAR AL FONDO DE JUBILACIONES</v>
      </c>
      <c r="O524" s="4">
        <f t="shared" si="60"/>
        <v>1</v>
      </c>
      <c r="P524" s="4" t="s">
        <v>532</v>
      </c>
      <c r="Q524" s="4" t="str">
        <f t="shared" si="52"/>
        <v>2-1-0-13-30-03-001</v>
      </c>
      <c r="R524" s="4" t="str">
        <f>IF(P524="",IF(L524="",IF(J524="",IF(H524="",IF(F524="",IF(D524="",B524,D524),F524),H524),J524),L524),P524)</f>
        <v>RETENCIONES LABORALES POR PAGAR AL FONDO DE JUBILACIONES DEL PERSONAL EMPLEADO</v>
      </c>
    </row>
    <row r="525" spans="1:18" x14ac:dyDescent="0.2">
      <c r="A525" s="1">
        <v>2</v>
      </c>
      <c r="B525" s="6" t="str">
        <f>VLOOKUP(A525,'ACTIVOS CODIGO'!A:B,2,0)</f>
        <v>PASIVO</v>
      </c>
      <c r="C525" s="2">
        <v>1</v>
      </c>
      <c r="D525" s="7" t="str">
        <f>VLOOKUP(C525,'ACTIVOS CODIGO'!H:I,2,0)</f>
        <v>PASIVO DEL TESORO = PASIVO CORRIENTE</v>
      </c>
      <c r="E525" s="3"/>
      <c r="F525" s="8"/>
      <c r="G525" s="10">
        <v>133</v>
      </c>
      <c r="H525" s="10" t="str">
        <f>VLOOKUP(G525,'PUB 21'!$A$1:$B$29,2,0)</f>
        <v>DEPOSITOS DE TERCEROS</v>
      </c>
      <c r="J525" s="35"/>
      <c r="K525" s="18">
        <v>3</v>
      </c>
      <c r="L525" s="35" t="s">
        <v>518</v>
      </c>
      <c r="M525" s="27" t="str">
        <f t="shared" si="49"/>
        <v>2-1-0-13-30-03</v>
      </c>
      <c r="N525" s="27" t="str">
        <f t="shared" si="50"/>
        <v>CUENTA POR PAGAR AL FONDO DE JUBILACIONES</v>
      </c>
      <c r="O525" s="4">
        <f t="shared" si="60"/>
        <v>2</v>
      </c>
      <c r="P525" s="4" t="s">
        <v>533</v>
      </c>
      <c r="Q525" s="4" t="str">
        <f t="shared" si="52"/>
        <v>2-1-0-13-30-03-002</v>
      </c>
      <c r="R525" s="4" t="str">
        <f>IF(P525="",IF(L525="",IF(J525="",IF(H525="",IF(F525="",IF(D525="",B525,D525),F525),H525),J525),L525),P525)</f>
        <v>APORTE PATRONAL POR PAGAR AL FONDO DE JUBILACIONES DEL PERSONAL EMPLEADO</v>
      </c>
    </row>
    <row r="526" spans="1:18" x14ac:dyDescent="0.2">
      <c r="A526" s="1">
        <v>2</v>
      </c>
      <c r="B526" s="6" t="str">
        <f>VLOOKUP(A526,'ACTIVOS CODIGO'!A:B,2,0)</f>
        <v>PASIVO</v>
      </c>
      <c r="C526" s="2">
        <v>1</v>
      </c>
      <c r="D526" s="7" t="str">
        <f>VLOOKUP(C526,'ACTIVOS CODIGO'!H:I,2,0)</f>
        <v>PASIVO DEL TESORO = PASIVO CORRIENTE</v>
      </c>
      <c r="E526" s="3"/>
      <c r="F526" s="8"/>
      <c r="G526" s="10">
        <v>133</v>
      </c>
      <c r="H526" s="10" t="str">
        <f>VLOOKUP(G526,'PUB 21'!$A$1:$B$29,2,0)</f>
        <v>DEPOSITOS DE TERCEROS</v>
      </c>
      <c r="J526" s="35"/>
      <c r="K526" s="18">
        <v>3</v>
      </c>
      <c r="L526" s="35" t="s">
        <v>518</v>
      </c>
      <c r="M526" s="27" t="str">
        <f t="shared" si="49"/>
        <v>2-1-0-13-30-03</v>
      </c>
      <c r="N526" s="27" t="str">
        <f t="shared" si="50"/>
        <v>CUENTA POR PAGAR AL FONDO DE JUBILACIONES</v>
      </c>
      <c r="O526" s="4">
        <f t="shared" si="60"/>
        <v>3</v>
      </c>
      <c r="P526" s="4" t="s">
        <v>534</v>
      </c>
      <c r="Q526" s="4" t="str">
        <f t="shared" si="52"/>
        <v>2-1-0-13-30-03-003</v>
      </c>
      <c r="R526" s="4" t="str">
        <f>IF(P526="",IF(L526="",IF(J526="",IF(H526="",IF(F526="",IF(D526="",B526,D526),F526),H526),J526),L526),P526)</f>
        <v>RETENCIONES LABORALES POR PAGAR AL FONDO DE JUBILACIONES DEL PERSONAL OBRERO</v>
      </c>
    </row>
    <row r="527" spans="1:18" x14ac:dyDescent="0.2">
      <c r="A527" s="1">
        <v>2</v>
      </c>
      <c r="B527" s="6" t="str">
        <f>VLOOKUP(A527,'ACTIVOS CODIGO'!A:B,2,0)</f>
        <v>PASIVO</v>
      </c>
      <c r="C527" s="2">
        <v>1</v>
      </c>
      <c r="D527" s="7" t="str">
        <f>VLOOKUP(C527,'ACTIVOS CODIGO'!H:I,2,0)</f>
        <v>PASIVO DEL TESORO = PASIVO CORRIENTE</v>
      </c>
      <c r="E527" s="3"/>
      <c r="F527" s="8"/>
      <c r="G527" s="10">
        <v>133</v>
      </c>
      <c r="H527" s="10" t="str">
        <f>VLOOKUP(G527,'PUB 21'!$A$1:$B$29,2,0)</f>
        <v>DEPOSITOS DE TERCEROS</v>
      </c>
      <c r="J527" s="35"/>
      <c r="K527" s="18">
        <v>3</v>
      </c>
      <c r="L527" s="35" t="s">
        <v>518</v>
      </c>
      <c r="M527" s="27" t="str">
        <f t="shared" si="49"/>
        <v>2-1-0-13-30-03</v>
      </c>
      <c r="N527" s="27" t="str">
        <f t="shared" si="50"/>
        <v>CUENTA POR PAGAR AL FONDO DE JUBILACIONES</v>
      </c>
      <c r="O527" s="4">
        <f t="shared" si="60"/>
        <v>4</v>
      </c>
      <c r="P527" s="4" t="s">
        <v>535</v>
      </c>
      <c r="Q527" s="4" t="str">
        <f t="shared" si="52"/>
        <v>2-1-0-13-30-03-004</v>
      </c>
      <c r="R527" s="4" t="str">
        <f>IF(P527="",IF(L527="",IF(J527="",IF(H527="",IF(F527="",IF(D527="",B527,D527),F527),H527),J527),L527),P527)</f>
        <v>APORTE PATRONAL POR PAGAR AL FONDO DE JUBILACIONES DEL PERSONAL OBRERO</v>
      </c>
    </row>
    <row r="528" spans="1:18" x14ac:dyDescent="0.2">
      <c r="A528" s="1">
        <v>2</v>
      </c>
      <c r="B528" s="6" t="str">
        <f>VLOOKUP(A528,'ACTIVOS CODIGO'!A:B,2,0)</f>
        <v>PASIVO</v>
      </c>
      <c r="C528" s="2">
        <v>1</v>
      </c>
      <c r="D528" s="7" t="str">
        <f>VLOOKUP(C528,'ACTIVOS CODIGO'!H:I,2,0)</f>
        <v>PASIVO DEL TESORO = PASIVO CORRIENTE</v>
      </c>
      <c r="E528" s="3"/>
      <c r="F528" s="8"/>
      <c r="G528" s="10">
        <v>133</v>
      </c>
      <c r="H528" s="10" t="str">
        <f>VLOOKUP(G528,'PUB 21'!$A$1:$B$29,2,0)</f>
        <v>DEPOSITOS DE TERCEROS</v>
      </c>
      <c r="J528" s="35"/>
      <c r="K528" s="18">
        <v>3</v>
      </c>
      <c r="L528" s="35" t="s">
        <v>518</v>
      </c>
      <c r="M528" s="27" t="str">
        <f t="shared" ref="M528:M529" si="77">CONCATENATE(TEXT(A528,"0"),"-",TEXT(C528,"0"),"-",TEXT(E528,"0"),"-",TEXT(LEFT(G528,2),"00"),"-",TEXT(RIGHT(G528,1),"0"),TEXT(I528,"0"),"-",TEXT(K528,"00"))</f>
        <v>2-1-0-13-30-03</v>
      </c>
      <c r="N528" s="27" t="str">
        <f t="shared" ref="N528:N529" si="78">IF(L528="",IF(J528="",IF(H528="",IF(F528="",IF(D528="",B528,D528),F528),H528),J528),L528)</f>
        <v>CUENTA POR PAGAR AL FONDO DE JUBILACIONES</v>
      </c>
      <c r="O528" s="4">
        <f t="shared" si="60"/>
        <v>5</v>
      </c>
      <c r="P528" s="4" t="s">
        <v>777</v>
      </c>
      <c r="Q528" s="4" t="str">
        <f t="shared" ref="Q528:Q529" si="79">CONCATENATE(TEXT(A528,"0"),"-",TEXT(C528,"0"),"-",TEXT(E528,"0"),"-",TEXT(LEFT(G528,2),"00"),"-",TEXT(RIGHT(G528,1),"0"),TEXT(I528,"0"),"-",TEXT(K528,"00"),"-",TEXT(O528,"000"))</f>
        <v>2-1-0-13-30-03-005</v>
      </c>
      <c r="R528" s="4" t="str">
        <f t="shared" ref="R528:R529" si="80">IF(P528="",IF(L528="",IF(J528="",IF(H528="",IF(F528="",IF(D528="",B528,D528),F528),H528),J528),L528),P528)</f>
        <v>RETENCIONES LABORALES POR PAGAR AL FONDO DE JUBILACIONES DEL PERSONAL CONTRATADO</v>
      </c>
    </row>
    <row r="529" spans="1:18" x14ac:dyDescent="0.2">
      <c r="A529" s="1">
        <v>2</v>
      </c>
      <c r="B529" s="6" t="str">
        <f>VLOOKUP(A529,'ACTIVOS CODIGO'!A:B,2,0)</f>
        <v>PASIVO</v>
      </c>
      <c r="C529" s="2">
        <v>1</v>
      </c>
      <c r="D529" s="7" t="str">
        <f>VLOOKUP(C529,'ACTIVOS CODIGO'!H:I,2,0)</f>
        <v>PASIVO DEL TESORO = PASIVO CORRIENTE</v>
      </c>
      <c r="E529" s="3"/>
      <c r="F529" s="8"/>
      <c r="G529" s="10">
        <v>133</v>
      </c>
      <c r="H529" s="10" t="str">
        <f>VLOOKUP(G529,'PUB 21'!$A$1:$B$29,2,0)</f>
        <v>DEPOSITOS DE TERCEROS</v>
      </c>
      <c r="J529" s="35"/>
      <c r="K529" s="18">
        <v>3</v>
      </c>
      <c r="L529" s="35" t="s">
        <v>518</v>
      </c>
      <c r="M529" s="27" t="str">
        <f t="shared" si="77"/>
        <v>2-1-0-13-30-03</v>
      </c>
      <c r="N529" s="27" t="str">
        <f t="shared" si="78"/>
        <v>CUENTA POR PAGAR AL FONDO DE JUBILACIONES</v>
      </c>
      <c r="O529" s="4">
        <f t="shared" si="60"/>
        <v>6</v>
      </c>
      <c r="P529" s="4" t="s">
        <v>778</v>
      </c>
      <c r="Q529" s="4" t="str">
        <f t="shared" si="79"/>
        <v>2-1-0-13-30-03-006</v>
      </c>
      <c r="R529" s="4" t="str">
        <f t="shared" si="80"/>
        <v>APORTE PATRONAL POR PAGAR AL FONDO DE JUBILACIONES DEL PERSONAL CONTRATADO</v>
      </c>
    </row>
    <row r="530" spans="1:18" x14ac:dyDescent="0.2">
      <c r="A530" s="1">
        <v>2</v>
      </c>
      <c r="B530" s="6" t="str">
        <f>VLOOKUP(A530,'ACTIVOS CODIGO'!A:B,2,0)</f>
        <v>PASIVO</v>
      </c>
      <c r="C530" s="2">
        <v>1</v>
      </c>
      <c r="D530" s="7" t="str">
        <f>VLOOKUP(C530,'ACTIVOS CODIGO'!H:I,2,0)</f>
        <v>PASIVO DEL TESORO = PASIVO CORRIENTE</v>
      </c>
      <c r="E530" s="3"/>
      <c r="F530" s="8"/>
      <c r="G530" s="10">
        <v>133</v>
      </c>
      <c r="H530" s="10" t="str">
        <f>VLOOKUP(G530,'PUB 21'!$A$1:$B$29,2,0)</f>
        <v>DEPOSITOS DE TERCEROS</v>
      </c>
      <c r="J530" s="35"/>
      <c r="K530" s="18">
        <v>4</v>
      </c>
      <c r="L530" s="35" t="s">
        <v>519</v>
      </c>
      <c r="M530" s="27" t="str">
        <f t="shared" si="49"/>
        <v>2-1-0-13-30-04</v>
      </c>
      <c r="N530" s="27" t="str">
        <f t="shared" si="50"/>
        <v>CUENTA POR PAGAR AL INSTITUTO NACIONAL DE CAPACITACION Y EDUCACION SOCIALISTA (INCES)</v>
      </c>
      <c r="O530" s="4">
        <f t="shared" si="60"/>
        <v>0</v>
      </c>
      <c r="Q530" s="4" t="str">
        <f t="shared" si="52"/>
        <v>2-1-0-13-30-04-000</v>
      </c>
      <c r="R530" s="4" t="str">
        <f t="shared" ref="R530:R547" si="81">IF(P530="",IF(L530="",IF(J530="",IF(H530="",IF(F530="",IF(D530="",B530,D530),F530),H530),J530),L530),P530)</f>
        <v>CUENTA POR PAGAR AL INSTITUTO NACIONAL DE CAPACITACION Y EDUCACION SOCIALISTA (INCES)</v>
      </c>
    </row>
    <row r="531" spans="1:18" x14ac:dyDescent="0.2">
      <c r="A531" s="1">
        <v>2</v>
      </c>
      <c r="B531" s="6" t="str">
        <f>VLOOKUP(A531,'ACTIVOS CODIGO'!A:B,2,0)</f>
        <v>PASIVO</v>
      </c>
      <c r="C531" s="2">
        <v>1</v>
      </c>
      <c r="D531" s="7" t="str">
        <f>VLOOKUP(C531,'ACTIVOS CODIGO'!H:I,2,0)</f>
        <v>PASIVO DEL TESORO = PASIVO CORRIENTE</v>
      </c>
      <c r="E531" s="3"/>
      <c r="F531" s="8"/>
      <c r="G531" s="10">
        <v>133</v>
      </c>
      <c r="H531" s="10" t="str">
        <f>VLOOKUP(G531,'PUB 21'!$A$1:$B$29,2,0)</f>
        <v>DEPOSITOS DE TERCEROS</v>
      </c>
      <c r="J531" s="35"/>
      <c r="K531" s="18">
        <v>4</v>
      </c>
      <c r="L531" s="35" t="s">
        <v>519</v>
      </c>
      <c r="M531" s="27" t="str">
        <f t="shared" si="49"/>
        <v>2-1-0-13-30-04</v>
      </c>
      <c r="N531" s="27" t="str">
        <f t="shared" si="50"/>
        <v>CUENTA POR PAGAR AL INSTITUTO NACIONAL DE CAPACITACION Y EDUCACION SOCIALISTA (INCES)</v>
      </c>
      <c r="O531" s="4">
        <f t="shared" si="60"/>
        <v>1</v>
      </c>
      <c r="P531" s="4" t="s">
        <v>536</v>
      </c>
      <c r="Q531" s="4" t="str">
        <f t="shared" si="52"/>
        <v>2-1-0-13-30-04-001</v>
      </c>
      <c r="R531" s="4" t="str">
        <f t="shared" si="81"/>
        <v>RETENCIONES LABORALES POR PAGAR AL INSTITUTO NACIONAL DE CAPACITACION Y EDUCACION SOCIALISTA (INCES) DEL PERSONAL EMPLEADO</v>
      </c>
    </row>
    <row r="532" spans="1:18" x14ac:dyDescent="0.2">
      <c r="A532" s="1">
        <v>2</v>
      </c>
      <c r="B532" s="6" t="str">
        <f>VLOOKUP(A532,'ACTIVOS CODIGO'!A:B,2,0)</f>
        <v>PASIVO</v>
      </c>
      <c r="C532" s="2">
        <v>1</v>
      </c>
      <c r="D532" s="7" t="str">
        <f>VLOOKUP(C532,'ACTIVOS CODIGO'!H:I,2,0)</f>
        <v>PASIVO DEL TESORO = PASIVO CORRIENTE</v>
      </c>
      <c r="E532" s="3"/>
      <c r="F532" s="8"/>
      <c r="G532" s="10">
        <v>133</v>
      </c>
      <c r="H532" s="10" t="str">
        <f>VLOOKUP(G532,'PUB 21'!$A$1:$B$29,2,0)</f>
        <v>DEPOSITOS DE TERCEROS</v>
      </c>
      <c r="J532" s="35"/>
      <c r="K532" s="18">
        <v>4</v>
      </c>
      <c r="L532" s="35" t="s">
        <v>519</v>
      </c>
      <c r="M532" s="27" t="str">
        <f t="shared" si="49"/>
        <v>2-1-0-13-30-04</v>
      </c>
      <c r="N532" s="27" t="str">
        <f t="shared" si="50"/>
        <v>CUENTA POR PAGAR AL INSTITUTO NACIONAL DE CAPACITACION Y EDUCACION SOCIALISTA (INCES)</v>
      </c>
      <c r="O532" s="4">
        <f t="shared" si="60"/>
        <v>2</v>
      </c>
      <c r="P532" s="4" t="s">
        <v>537</v>
      </c>
      <c r="Q532" s="4" t="str">
        <f t="shared" si="52"/>
        <v>2-1-0-13-30-04-002</v>
      </c>
      <c r="R532" s="4" t="str">
        <f t="shared" si="81"/>
        <v>APORTE PATRONAL POR PAGAR AL INSTITUTO NACIONAL DE CAPACITACION Y EDUCACION SOCIALISTA (INCES) DEL PERSONAL EMPLEADO</v>
      </c>
    </row>
    <row r="533" spans="1:18" x14ac:dyDescent="0.2">
      <c r="A533" s="1">
        <v>2</v>
      </c>
      <c r="B533" s="6" t="str">
        <f>VLOOKUP(A533,'ACTIVOS CODIGO'!A:B,2,0)</f>
        <v>PASIVO</v>
      </c>
      <c r="C533" s="2">
        <v>1</v>
      </c>
      <c r="D533" s="7" t="str">
        <f>VLOOKUP(C533,'ACTIVOS CODIGO'!H:I,2,0)</f>
        <v>PASIVO DEL TESORO = PASIVO CORRIENTE</v>
      </c>
      <c r="E533" s="3"/>
      <c r="F533" s="8"/>
      <c r="G533" s="10">
        <v>133</v>
      </c>
      <c r="H533" s="10" t="str">
        <f>VLOOKUP(G533,'PUB 21'!$A$1:$B$29,2,0)</f>
        <v>DEPOSITOS DE TERCEROS</v>
      </c>
      <c r="J533" s="35"/>
      <c r="K533" s="18">
        <v>4</v>
      </c>
      <c r="L533" s="35" t="s">
        <v>519</v>
      </c>
      <c r="M533" s="27" t="str">
        <f t="shared" si="49"/>
        <v>2-1-0-13-30-04</v>
      </c>
      <c r="N533" s="27" t="str">
        <f t="shared" si="50"/>
        <v>CUENTA POR PAGAR AL INSTITUTO NACIONAL DE CAPACITACION Y EDUCACION SOCIALISTA (INCES)</v>
      </c>
      <c r="O533" s="4">
        <f t="shared" si="60"/>
        <v>3</v>
      </c>
      <c r="P533" s="4" t="s">
        <v>538</v>
      </c>
      <c r="Q533" s="4" t="str">
        <f t="shared" si="52"/>
        <v>2-1-0-13-30-04-003</v>
      </c>
      <c r="R533" s="4" t="str">
        <f t="shared" si="81"/>
        <v>RETENCIONES LABORALES POR PAGAR AL INSTITUTO NACIONAL DE CAPACITACION Y EDUCACION SOCIALISTA (INCES) DEL PERSONAL OBRERO</v>
      </c>
    </row>
    <row r="534" spans="1:18" x14ac:dyDescent="0.2">
      <c r="A534" s="1">
        <v>2</v>
      </c>
      <c r="B534" s="6" t="str">
        <f>VLOOKUP(A534,'ACTIVOS CODIGO'!A:B,2,0)</f>
        <v>PASIVO</v>
      </c>
      <c r="C534" s="2">
        <v>1</v>
      </c>
      <c r="D534" s="7" t="str">
        <f>VLOOKUP(C534,'ACTIVOS CODIGO'!H:I,2,0)</f>
        <v>PASIVO DEL TESORO = PASIVO CORRIENTE</v>
      </c>
      <c r="E534" s="3"/>
      <c r="F534" s="8"/>
      <c r="G534" s="10">
        <v>133</v>
      </c>
      <c r="H534" s="10" t="str">
        <f>VLOOKUP(G534,'PUB 21'!$A$1:$B$29,2,0)</f>
        <v>DEPOSITOS DE TERCEROS</v>
      </c>
      <c r="J534" s="35"/>
      <c r="K534" s="18">
        <v>4</v>
      </c>
      <c r="L534" s="35" t="s">
        <v>519</v>
      </c>
      <c r="M534" s="27" t="str">
        <f t="shared" si="49"/>
        <v>2-1-0-13-30-04</v>
      </c>
      <c r="N534" s="27" t="str">
        <f t="shared" si="50"/>
        <v>CUENTA POR PAGAR AL INSTITUTO NACIONAL DE CAPACITACION Y EDUCACION SOCIALISTA (INCES)</v>
      </c>
      <c r="O534" s="4">
        <f t="shared" si="60"/>
        <v>4</v>
      </c>
      <c r="P534" s="4" t="s">
        <v>539</v>
      </c>
      <c r="Q534" s="4" t="str">
        <f t="shared" si="52"/>
        <v>2-1-0-13-30-04-004</v>
      </c>
      <c r="R534" s="4" t="str">
        <f t="shared" si="81"/>
        <v>APORTE PATRONAL POR PAGAR AL INSTITUTO NACIONAL DE CAPACITACION Y EDUCACION SOCIALISTA (INCES) DEL PERSONAL OBRERO</v>
      </c>
    </row>
    <row r="535" spans="1:18" x14ac:dyDescent="0.2">
      <c r="A535" s="1">
        <v>2</v>
      </c>
      <c r="B535" s="6" t="str">
        <f>VLOOKUP(A535,'ACTIVOS CODIGO'!A:B,2,0)</f>
        <v>PASIVO</v>
      </c>
      <c r="C535" s="2">
        <v>1</v>
      </c>
      <c r="D535" s="7" t="str">
        <f>VLOOKUP(C535,'ACTIVOS CODIGO'!H:I,2,0)</f>
        <v>PASIVO DEL TESORO = PASIVO CORRIENTE</v>
      </c>
      <c r="E535" s="3"/>
      <c r="F535" s="8"/>
      <c r="G535" s="10">
        <v>133</v>
      </c>
      <c r="H535" s="10" t="str">
        <f>VLOOKUP(G535,'PUB 21'!$A$1:$B$29,2,0)</f>
        <v>DEPOSITOS DE TERCEROS</v>
      </c>
      <c r="J535" s="35"/>
      <c r="K535" s="18">
        <v>4</v>
      </c>
      <c r="L535" s="35" t="s">
        <v>519</v>
      </c>
      <c r="M535" s="27" t="str">
        <f t="shared" ref="M535:M536" si="82">CONCATENATE(TEXT(A535,"0"),"-",TEXT(C535,"0"),"-",TEXT(E535,"0"),"-",TEXT(LEFT(G535,2),"00"),"-",TEXT(RIGHT(G535,1),"0"),TEXT(I535,"0"),"-",TEXT(K535,"00"))</f>
        <v>2-1-0-13-30-04</v>
      </c>
      <c r="N535" s="27" t="str">
        <f t="shared" ref="N535:N536" si="83">IF(L535="",IF(J535="",IF(H535="",IF(F535="",IF(D535="",B535,D535),F535),H535),J535),L535)</f>
        <v>CUENTA POR PAGAR AL INSTITUTO NACIONAL DE CAPACITACION Y EDUCACION SOCIALISTA (INCES)</v>
      </c>
      <c r="O535" s="4">
        <f t="shared" si="60"/>
        <v>5</v>
      </c>
      <c r="P535" s="4" t="s">
        <v>775</v>
      </c>
      <c r="Q535" s="4" t="str">
        <f t="shared" ref="Q535:Q536" si="84">CONCATENATE(TEXT(A535,"0"),"-",TEXT(C535,"0"),"-",TEXT(E535,"0"),"-",TEXT(LEFT(G535,2),"00"),"-",TEXT(RIGHT(G535,1),"0"),TEXT(I535,"0"),"-",TEXT(K535,"00"),"-",TEXT(O535,"000"))</f>
        <v>2-1-0-13-30-04-005</v>
      </c>
      <c r="R535" s="4" t="str">
        <f t="shared" si="81"/>
        <v>RETENCIONES LABORALES POR PAGAR AL INSTITUTO NACIONAL DE CAPACITACION Y EDUCACION SOCIALISTA (INCES) DEL PERSONAL CONTRATADO</v>
      </c>
    </row>
    <row r="536" spans="1:18" x14ac:dyDescent="0.2">
      <c r="A536" s="1">
        <v>2</v>
      </c>
      <c r="B536" s="6" t="str">
        <f>VLOOKUP(A536,'ACTIVOS CODIGO'!A:B,2,0)</f>
        <v>PASIVO</v>
      </c>
      <c r="C536" s="2">
        <v>1</v>
      </c>
      <c r="D536" s="7" t="str">
        <f>VLOOKUP(C536,'ACTIVOS CODIGO'!H:I,2,0)</f>
        <v>PASIVO DEL TESORO = PASIVO CORRIENTE</v>
      </c>
      <c r="E536" s="3"/>
      <c r="F536" s="8"/>
      <c r="G536" s="10">
        <v>133</v>
      </c>
      <c r="H536" s="10" t="str">
        <f>VLOOKUP(G536,'PUB 21'!$A$1:$B$29,2,0)</f>
        <v>DEPOSITOS DE TERCEROS</v>
      </c>
      <c r="J536" s="35"/>
      <c r="K536" s="18">
        <v>4</v>
      </c>
      <c r="L536" s="35" t="s">
        <v>519</v>
      </c>
      <c r="M536" s="27" t="str">
        <f t="shared" si="82"/>
        <v>2-1-0-13-30-04</v>
      </c>
      <c r="N536" s="27" t="str">
        <f t="shared" si="83"/>
        <v>CUENTA POR PAGAR AL INSTITUTO NACIONAL DE CAPACITACION Y EDUCACION SOCIALISTA (INCES)</v>
      </c>
      <c r="O536" s="4">
        <f t="shared" si="60"/>
        <v>6</v>
      </c>
      <c r="P536" s="4" t="s">
        <v>776</v>
      </c>
      <c r="Q536" s="4" t="str">
        <f t="shared" si="84"/>
        <v>2-1-0-13-30-04-006</v>
      </c>
      <c r="R536" s="4" t="str">
        <f t="shared" si="81"/>
        <v>APORTE PATRONAL POR PAGAR AL INSTITUTO NACIONAL DE CAPACITACION Y EDUCACION SOCIALISTA (INCES) DEL PERSONAL CONTRATADO</v>
      </c>
    </row>
    <row r="537" spans="1:18" x14ac:dyDescent="0.2">
      <c r="A537" s="1">
        <v>2</v>
      </c>
      <c r="B537" s="6" t="str">
        <f>VLOOKUP(A537,'ACTIVOS CODIGO'!A:B,2,0)</f>
        <v>PASIVO</v>
      </c>
      <c r="C537" s="2">
        <v>1</v>
      </c>
      <c r="D537" s="7" t="str">
        <f>VLOOKUP(C537,'ACTIVOS CODIGO'!H:I,2,0)</f>
        <v>PASIVO DEL TESORO = PASIVO CORRIENTE</v>
      </c>
      <c r="E537" s="3"/>
      <c r="F537" s="8"/>
      <c r="G537" s="10">
        <v>133</v>
      </c>
      <c r="H537" s="10" t="str">
        <f>VLOOKUP(G537,'PUB 21'!$A$1:$B$29,2,0)</f>
        <v>DEPOSITOS DE TERCEROS</v>
      </c>
      <c r="I537"/>
      <c r="J537" s="4"/>
      <c r="K537">
        <v>5</v>
      </c>
      <c r="L537" s="4" t="s">
        <v>540</v>
      </c>
      <c r="M537" s="27" t="str">
        <f t="shared" si="49"/>
        <v>2-1-0-13-30-05</v>
      </c>
      <c r="N537" s="27" t="str">
        <f t="shared" si="50"/>
        <v>ASOCIACIONES</v>
      </c>
      <c r="O537" s="4">
        <f t="shared" si="60"/>
        <v>0</v>
      </c>
      <c r="Q537" s="4" t="str">
        <f t="shared" si="52"/>
        <v>2-1-0-13-30-05-000</v>
      </c>
      <c r="R537" s="4" t="str">
        <f t="shared" si="81"/>
        <v>ASOCIACIONES</v>
      </c>
    </row>
    <row r="538" spans="1:18" x14ac:dyDescent="0.2">
      <c r="A538" s="1">
        <v>2</v>
      </c>
      <c r="B538" s="6" t="str">
        <f>VLOOKUP(A538,'ACTIVOS CODIGO'!A:B,2,0)</f>
        <v>PASIVO</v>
      </c>
      <c r="C538" s="2">
        <v>1</v>
      </c>
      <c r="D538" s="7" t="str">
        <f>VLOOKUP(C538,'ACTIVOS CODIGO'!H:I,2,0)</f>
        <v>PASIVO DEL TESORO = PASIVO CORRIENTE</v>
      </c>
      <c r="E538" s="3"/>
      <c r="F538" s="8"/>
      <c r="G538" s="10">
        <v>133</v>
      </c>
      <c r="H538" s="10" t="str">
        <f>VLOOKUP(G538,'PUB 21'!$A$1:$B$29,2,0)</f>
        <v>DEPOSITOS DE TERCEROS</v>
      </c>
      <c r="I538"/>
      <c r="J538" s="4"/>
      <c r="K538">
        <v>5</v>
      </c>
      <c r="L538" s="4" t="s">
        <v>540</v>
      </c>
      <c r="M538" s="27" t="str">
        <f t="shared" si="49"/>
        <v>2-1-0-13-30-05</v>
      </c>
      <c r="N538" s="27" t="str">
        <f t="shared" si="50"/>
        <v>ASOCIACIONES</v>
      </c>
      <c r="O538" s="4">
        <f t="shared" si="60"/>
        <v>1</v>
      </c>
      <c r="P538" s="4" t="s">
        <v>548</v>
      </c>
      <c r="Q538" s="4" t="str">
        <f t="shared" si="52"/>
        <v>2-1-0-13-30-05-001</v>
      </c>
      <c r="R538" s="4" t="str">
        <f t="shared" si="81"/>
        <v>ASOC. BOMBEROS JUBILADOS JUBILADOS</v>
      </c>
    </row>
    <row r="539" spans="1:18" x14ac:dyDescent="0.2">
      <c r="A539" s="1">
        <v>2</v>
      </c>
      <c r="B539" s="6" t="str">
        <f>VLOOKUP(A539,'ACTIVOS CODIGO'!A:B,2,0)</f>
        <v>PASIVO</v>
      </c>
      <c r="C539" s="2">
        <v>1</v>
      </c>
      <c r="D539" s="7" t="str">
        <f>VLOOKUP(C539,'ACTIVOS CODIGO'!H:I,2,0)</f>
        <v>PASIVO DEL TESORO = PASIVO CORRIENTE</v>
      </c>
      <c r="E539" s="3"/>
      <c r="F539" s="8"/>
      <c r="G539" s="10">
        <v>133</v>
      </c>
      <c r="H539" s="10" t="str">
        <f>VLOOKUP(G539,'PUB 21'!$A$1:$B$29,2,0)</f>
        <v>DEPOSITOS DE TERCEROS</v>
      </c>
      <c r="I539"/>
      <c r="J539" s="4"/>
      <c r="K539">
        <v>5</v>
      </c>
      <c r="L539" s="4" t="s">
        <v>540</v>
      </c>
      <c r="M539" s="27" t="str">
        <f t="shared" si="49"/>
        <v>2-1-0-13-30-05</v>
      </c>
      <c r="N539" s="27" t="str">
        <f t="shared" si="50"/>
        <v>ASOCIACIONES</v>
      </c>
      <c r="O539" s="4">
        <f t="shared" si="60"/>
        <v>2</v>
      </c>
      <c r="P539" s="4" t="s">
        <v>549</v>
      </c>
      <c r="Q539" s="4" t="str">
        <f t="shared" si="52"/>
        <v>2-1-0-13-30-05-002</v>
      </c>
      <c r="R539" s="4" t="str">
        <f t="shared" si="81"/>
        <v>A.U.J.P.M.L.D.C. JUBILADOS</v>
      </c>
    </row>
    <row r="540" spans="1:18" x14ac:dyDescent="0.2">
      <c r="A540" s="1">
        <v>2</v>
      </c>
      <c r="B540" s="6" t="str">
        <f>VLOOKUP(A540,'ACTIVOS CODIGO'!A:B,2,0)</f>
        <v>PASIVO</v>
      </c>
      <c r="C540" s="2">
        <v>1</v>
      </c>
      <c r="D540" s="7" t="str">
        <f>VLOOKUP(C540,'ACTIVOS CODIGO'!H:I,2,0)</f>
        <v>PASIVO DEL TESORO = PASIVO CORRIENTE</v>
      </c>
      <c r="E540" s="3"/>
      <c r="F540" s="8"/>
      <c r="G540" s="10">
        <v>133</v>
      </c>
      <c r="H540" s="10" t="str">
        <f>VLOOKUP(G540,'PUB 21'!$A$1:$B$29,2,0)</f>
        <v>DEPOSITOS DE TERCEROS</v>
      </c>
      <c r="I540"/>
      <c r="J540" s="4"/>
      <c r="K540">
        <v>5</v>
      </c>
      <c r="L540" s="4" t="s">
        <v>540</v>
      </c>
      <c r="M540" s="27" t="str">
        <f t="shared" si="49"/>
        <v>2-1-0-13-30-05</v>
      </c>
      <c r="N540" s="27" t="str">
        <f t="shared" si="50"/>
        <v>ASOCIACIONES</v>
      </c>
      <c r="O540" s="4">
        <f t="shared" si="60"/>
        <v>3</v>
      </c>
      <c r="P540" s="4" t="s">
        <v>550</v>
      </c>
      <c r="Q540" s="4" t="str">
        <f t="shared" si="52"/>
        <v>2-1-0-13-30-05-003</v>
      </c>
      <c r="R540" s="4" t="str">
        <f t="shared" si="81"/>
        <v>AJUNPENPOL PRESTAMO JUBILADOS</v>
      </c>
    </row>
    <row r="541" spans="1:18" x14ac:dyDescent="0.2">
      <c r="A541" s="1">
        <v>2</v>
      </c>
      <c r="B541" s="6" t="str">
        <f>VLOOKUP(A541,'ACTIVOS CODIGO'!A:B,2,0)</f>
        <v>PASIVO</v>
      </c>
      <c r="C541" s="2">
        <v>1</v>
      </c>
      <c r="D541" s="7" t="str">
        <f>VLOOKUP(C541,'ACTIVOS CODIGO'!H:I,2,0)</f>
        <v>PASIVO DEL TESORO = PASIVO CORRIENTE</v>
      </c>
      <c r="E541" s="3"/>
      <c r="F541" s="8"/>
      <c r="G541" s="10">
        <v>133</v>
      </c>
      <c r="H541" s="10" t="str">
        <f>VLOOKUP(G541,'PUB 21'!$A$1:$B$29,2,0)</f>
        <v>DEPOSITOS DE TERCEROS</v>
      </c>
      <c r="I541"/>
      <c r="J541" s="4"/>
      <c r="K541">
        <v>5</v>
      </c>
      <c r="L541" s="4" t="s">
        <v>540</v>
      </c>
      <c r="M541" s="27" t="str">
        <f t="shared" si="49"/>
        <v>2-1-0-13-30-05</v>
      </c>
      <c r="N541" s="27" t="str">
        <f t="shared" si="50"/>
        <v>ASOCIACIONES</v>
      </c>
      <c r="O541" s="4">
        <f t="shared" si="60"/>
        <v>4</v>
      </c>
      <c r="P541" s="4" t="s">
        <v>551</v>
      </c>
      <c r="Q541" s="4" t="str">
        <f t="shared" si="52"/>
        <v>2-1-0-13-30-05-004</v>
      </c>
      <c r="R541" s="4" t="str">
        <f t="shared" si="81"/>
        <v>AJCSML APORTE TRABAJADOR JUBILADOS</v>
      </c>
    </row>
    <row r="542" spans="1:18" x14ac:dyDescent="0.2">
      <c r="A542" s="1">
        <v>2</v>
      </c>
      <c r="B542" s="6" t="str">
        <f>VLOOKUP(A542,'ACTIVOS CODIGO'!A:B,2,0)</f>
        <v>PASIVO</v>
      </c>
      <c r="C542" s="2">
        <v>1</v>
      </c>
      <c r="D542" s="7" t="str">
        <f>VLOOKUP(C542,'ACTIVOS CODIGO'!H:I,2,0)</f>
        <v>PASIVO DEL TESORO = PASIVO CORRIENTE</v>
      </c>
      <c r="E542" s="3"/>
      <c r="F542" s="8"/>
      <c r="G542" s="10">
        <v>133</v>
      </c>
      <c r="H542" s="10" t="str">
        <f>VLOOKUP(G542,'PUB 21'!$A$1:$B$29,2,0)</f>
        <v>DEPOSITOS DE TERCEROS</v>
      </c>
      <c r="I542"/>
      <c r="J542" s="4"/>
      <c r="K542">
        <v>5</v>
      </c>
      <c r="L542" s="4" t="s">
        <v>540</v>
      </c>
      <c r="M542" s="27" t="str">
        <f t="shared" si="49"/>
        <v>2-1-0-13-30-05</v>
      </c>
      <c r="N542" s="27" t="str">
        <f t="shared" si="50"/>
        <v>ASOCIACIONES</v>
      </c>
      <c r="O542" s="4">
        <f t="shared" si="60"/>
        <v>5</v>
      </c>
      <c r="P542" s="4" t="s">
        <v>552</v>
      </c>
      <c r="Q542" s="4" t="str">
        <f t="shared" si="52"/>
        <v>2-1-0-13-30-05-005</v>
      </c>
      <c r="R542" s="4" t="str">
        <f t="shared" si="81"/>
        <v>ASOJALCA APORTE TRABAJADOR JUBILADOS</v>
      </c>
    </row>
    <row r="543" spans="1:18" x14ac:dyDescent="0.2">
      <c r="A543" s="1">
        <v>2</v>
      </c>
      <c r="B543" s="6" t="str">
        <f>VLOOKUP(A543,'ACTIVOS CODIGO'!A:B,2,0)</f>
        <v>PASIVO</v>
      </c>
      <c r="C543" s="2">
        <v>1</v>
      </c>
      <c r="D543" s="7" t="str">
        <f>VLOOKUP(C543,'ACTIVOS CODIGO'!H:I,2,0)</f>
        <v>PASIVO DEL TESORO = PASIVO CORRIENTE</v>
      </c>
      <c r="E543" s="3"/>
      <c r="F543" s="8"/>
      <c r="G543" s="10">
        <v>133</v>
      </c>
      <c r="H543" s="10" t="str">
        <f>VLOOKUP(G543,'PUB 21'!$A$1:$B$29,2,0)</f>
        <v>DEPOSITOS DE TERCEROS</v>
      </c>
      <c r="I543"/>
      <c r="J543" s="4"/>
      <c r="K543">
        <v>6</v>
      </c>
      <c r="L543" s="4" t="s">
        <v>512</v>
      </c>
      <c r="M543" s="27" t="str">
        <f t="shared" si="49"/>
        <v>2-1-0-13-30-06</v>
      </c>
      <c r="N543" s="27" t="str">
        <f t="shared" si="50"/>
        <v>CAEMSUMATMBL</v>
      </c>
      <c r="O543" s="4">
        <f t="shared" si="60"/>
        <v>0</v>
      </c>
      <c r="Q543" s="4" t="str">
        <f t="shared" si="52"/>
        <v>2-1-0-13-30-06-000</v>
      </c>
      <c r="R543" s="4" t="str">
        <f t="shared" si="81"/>
        <v>CAEMSUMATMBL</v>
      </c>
    </row>
    <row r="544" spans="1:18" x14ac:dyDescent="0.2">
      <c r="A544" s="1">
        <v>2</v>
      </c>
      <c r="B544" s="6" t="str">
        <f>VLOOKUP(A544,'ACTIVOS CODIGO'!A:B,2,0)</f>
        <v>PASIVO</v>
      </c>
      <c r="C544" s="2">
        <v>1</v>
      </c>
      <c r="D544" s="7" t="str">
        <f>VLOOKUP(C544,'ACTIVOS CODIGO'!H:I,2,0)</f>
        <v>PASIVO DEL TESORO = PASIVO CORRIENTE</v>
      </c>
      <c r="E544" s="3"/>
      <c r="F544" s="8"/>
      <c r="G544" s="10">
        <v>133</v>
      </c>
      <c r="H544" s="10" t="str">
        <f>VLOOKUP(G544,'PUB 21'!$A$1:$B$29,2,0)</f>
        <v>DEPOSITOS DE TERCEROS</v>
      </c>
      <c r="I544"/>
      <c r="J544" s="4"/>
      <c r="K544">
        <v>6</v>
      </c>
      <c r="L544" s="4" t="s">
        <v>512</v>
      </c>
      <c r="M544" s="27" t="str">
        <f t="shared" si="49"/>
        <v>2-1-0-13-30-06</v>
      </c>
      <c r="N544" s="27" t="str">
        <f t="shared" si="50"/>
        <v>CAEMSUMATMBL</v>
      </c>
      <c r="O544" s="4">
        <f t="shared" si="60"/>
        <v>1</v>
      </c>
      <c r="P544" s="4" t="s">
        <v>553</v>
      </c>
      <c r="Q544" s="4" t="str">
        <f t="shared" si="52"/>
        <v>2-1-0-13-30-06-001</v>
      </c>
      <c r="R544" s="4" t="str">
        <f t="shared" si="81"/>
        <v>CAEMSUMATMBL APORTE TRABAJADOR EMPLEADOS</v>
      </c>
    </row>
    <row r="545" spans="1:18" x14ac:dyDescent="0.2">
      <c r="A545" s="1">
        <v>2</v>
      </c>
      <c r="B545" s="6" t="str">
        <f>VLOOKUP(A545,'ACTIVOS CODIGO'!A:B,2,0)</f>
        <v>PASIVO</v>
      </c>
      <c r="C545" s="2">
        <v>1</v>
      </c>
      <c r="D545" s="7" t="str">
        <f>VLOOKUP(C545,'ACTIVOS CODIGO'!H:I,2,0)</f>
        <v>PASIVO DEL TESORO = PASIVO CORRIENTE</v>
      </c>
      <c r="E545" s="3"/>
      <c r="F545" s="8"/>
      <c r="G545" s="10">
        <v>133</v>
      </c>
      <c r="H545" s="10" t="str">
        <f>VLOOKUP(G545,'PUB 21'!$A$1:$B$29,2,0)</f>
        <v>DEPOSITOS DE TERCEROS</v>
      </c>
      <c r="I545"/>
      <c r="J545" s="4"/>
      <c r="K545">
        <v>6</v>
      </c>
      <c r="L545" s="4" t="s">
        <v>512</v>
      </c>
      <c r="M545" s="27" t="str">
        <f t="shared" si="49"/>
        <v>2-1-0-13-30-06</v>
      </c>
      <c r="N545" s="27" t="str">
        <f t="shared" si="50"/>
        <v>CAEMSUMATMBL</v>
      </c>
      <c r="O545" s="4">
        <f t="shared" si="60"/>
        <v>2</v>
      </c>
      <c r="P545" s="4" t="s">
        <v>554</v>
      </c>
      <c r="Q545" s="4" t="str">
        <f t="shared" si="52"/>
        <v>2-1-0-13-30-06-002</v>
      </c>
      <c r="R545" s="4" t="str">
        <f t="shared" si="81"/>
        <v>CAEMSUMATMBL PRESTAMOS EMPLEADOS</v>
      </c>
    </row>
    <row r="546" spans="1:18" x14ac:dyDescent="0.2">
      <c r="A546" s="1">
        <v>2</v>
      </c>
      <c r="B546" s="6" t="str">
        <f>VLOOKUP(A546,'ACTIVOS CODIGO'!A:B,2,0)</f>
        <v>PASIVO</v>
      </c>
      <c r="C546" s="2">
        <v>1</v>
      </c>
      <c r="D546" s="7" t="str">
        <f>VLOOKUP(C546,'ACTIVOS CODIGO'!H:I,2,0)</f>
        <v>PASIVO DEL TESORO = PASIVO CORRIENTE</v>
      </c>
      <c r="E546" s="3"/>
      <c r="F546" s="8"/>
      <c r="G546" s="10">
        <v>133</v>
      </c>
      <c r="H546" s="10" t="str">
        <f>VLOOKUP(G546,'PUB 21'!$A$1:$B$29,2,0)</f>
        <v>DEPOSITOS DE TERCEROS</v>
      </c>
      <c r="I546"/>
      <c r="J546" s="4"/>
      <c r="K546">
        <v>6</v>
      </c>
      <c r="L546" s="4" t="s">
        <v>512</v>
      </c>
      <c r="M546" s="27" t="str">
        <f t="shared" si="49"/>
        <v>2-1-0-13-30-06</v>
      </c>
      <c r="N546" s="27" t="str">
        <f t="shared" si="50"/>
        <v>CAEMSUMATMBL</v>
      </c>
      <c r="O546" s="4">
        <f t="shared" si="60"/>
        <v>3</v>
      </c>
      <c r="P546" s="4" t="s">
        <v>555</v>
      </c>
      <c r="Q546" s="4" t="str">
        <f t="shared" si="52"/>
        <v>2-1-0-13-30-06-003</v>
      </c>
      <c r="R546" s="4" t="str">
        <f t="shared" si="81"/>
        <v>CAEMSUMATMBL APORTE TRABAJADOR OBREROS</v>
      </c>
    </row>
    <row r="547" spans="1:18" x14ac:dyDescent="0.2">
      <c r="A547" s="1">
        <v>2</v>
      </c>
      <c r="B547" s="6" t="str">
        <f>VLOOKUP(A547,'ACTIVOS CODIGO'!A:B,2,0)</f>
        <v>PASIVO</v>
      </c>
      <c r="C547" s="2">
        <v>1</v>
      </c>
      <c r="D547" s="7" t="str">
        <f>VLOOKUP(C547,'ACTIVOS CODIGO'!H:I,2,0)</f>
        <v>PASIVO DEL TESORO = PASIVO CORRIENTE</v>
      </c>
      <c r="E547" s="3"/>
      <c r="F547" s="8"/>
      <c r="G547" s="10">
        <v>133</v>
      </c>
      <c r="H547" s="10" t="str">
        <f>VLOOKUP(G547,'PUB 21'!$A$1:$B$29,2,0)</f>
        <v>DEPOSITOS DE TERCEROS</v>
      </c>
      <c r="I547"/>
      <c r="J547" s="4"/>
      <c r="K547">
        <v>6</v>
      </c>
      <c r="L547" s="4" t="s">
        <v>512</v>
      </c>
      <c r="M547" s="27" t="str">
        <f t="shared" si="49"/>
        <v>2-1-0-13-30-06</v>
      </c>
      <c r="N547" s="27" t="str">
        <f t="shared" si="50"/>
        <v>CAEMSUMATMBL</v>
      </c>
      <c r="O547" s="4">
        <f t="shared" si="60"/>
        <v>4</v>
      </c>
      <c r="P547" s="4" t="s">
        <v>556</v>
      </c>
      <c r="Q547" s="4" t="str">
        <f t="shared" si="52"/>
        <v>2-1-0-13-30-06-004</v>
      </c>
      <c r="R547" s="4" t="str">
        <f t="shared" si="81"/>
        <v>CAEMSUMATMBL PRESTAMOS OBREROS</v>
      </c>
    </row>
    <row r="548" spans="1:18" x14ac:dyDescent="0.2">
      <c r="A548" s="1">
        <v>2</v>
      </c>
      <c r="B548" s="6" t="str">
        <f>VLOOKUP(A548,'ACTIVOS CODIGO'!A:B,2,0)</f>
        <v>PASIVO</v>
      </c>
      <c r="C548" s="2">
        <v>1</v>
      </c>
      <c r="D548" s="7" t="str">
        <f>VLOOKUP(C548,'ACTIVOS CODIGO'!H:I,2,0)</f>
        <v>PASIVO DEL TESORO = PASIVO CORRIENTE</v>
      </c>
      <c r="E548" s="3"/>
      <c r="F548" s="8"/>
      <c r="G548" s="10">
        <v>133</v>
      </c>
      <c r="H548" s="10" t="str">
        <f>VLOOKUP(G548,'PUB 21'!$A$1:$B$29,2,0)</f>
        <v>DEPOSITOS DE TERCEROS</v>
      </c>
      <c r="I548"/>
      <c r="J548" s="4"/>
      <c r="K548">
        <v>6</v>
      </c>
      <c r="L548" s="4" t="s">
        <v>512</v>
      </c>
      <c r="M548" s="27" t="str">
        <f t="shared" ref="M548:M549" si="85">CONCATENATE(TEXT(A548,"0"),"-",TEXT(C548,"0"),"-",TEXT(E548,"0"),"-",TEXT(LEFT(G548,2),"00"),"-",TEXT(RIGHT(G548,1),"0"),TEXT(I548,"0"),"-",TEXT(K548,"00"))</f>
        <v>2-1-0-13-30-06</v>
      </c>
      <c r="N548" s="27" t="str">
        <f t="shared" ref="N548:N549" si="86">IF(L548="",IF(J548="",IF(H548="",IF(F548="",IF(D548="",B548,D548),F548),H548),J548),L548)</f>
        <v>CAEMSUMATMBL</v>
      </c>
      <c r="O548" s="4">
        <f t="shared" si="60"/>
        <v>5</v>
      </c>
      <c r="P548" s="4" t="s">
        <v>779</v>
      </c>
      <c r="Q548" s="4" t="str">
        <f t="shared" ref="Q548:Q549" si="87">CONCATENATE(TEXT(A548,"0"),"-",TEXT(C548,"0"),"-",TEXT(E548,"0"),"-",TEXT(LEFT(G548,2),"00"),"-",TEXT(RIGHT(G548,1),"0"),TEXT(I548,"0"),"-",TEXT(K548,"00"),"-",TEXT(O548,"000"))</f>
        <v>2-1-0-13-30-06-005</v>
      </c>
      <c r="R548" s="4" t="str">
        <f t="shared" ref="R548:R549" si="88">IF(P548="",IF(L548="",IF(J548="",IF(H548="",IF(F548="",IF(D548="",B548,D548),F548),H548),J548),L548),P548)</f>
        <v>CAEMSUMATMBL APORTE TRABAJADOR CONTRATADO</v>
      </c>
    </row>
    <row r="549" spans="1:18" x14ac:dyDescent="0.2">
      <c r="A549" s="1">
        <v>2</v>
      </c>
      <c r="B549" s="6" t="str">
        <f>VLOOKUP(A549,'ACTIVOS CODIGO'!A:B,2,0)</f>
        <v>PASIVO</v>
      </c>
      <c r="C549" s="2">
        <v>1</v>
      </c>
      <c r="D549" s="7" t="str">
        <f>VLOOKUP(C549,'ACTIVOS CODIGO'!H:I,2,0)</f>
        <v>PASIVO DEL TESORO = PASIVO CORRIENTE</v>
      </c>
      <c r="E549" s="3"/>
      <c r="F549" s="8"/>
      <c r="G549" s="10">
        <v>133</v>
      </c>
      <c r="H549" s="10" t="str">
        <f>VLOOKUP(G549,'PUB 21'!$A$1:$B$29,2,0)</f>
        <v>DEPOSITOS DE TERCEROS</v>
      </c>
      <c r="I549"/>
      <c r="J549" s="4"/>
      <c r="K549">
        <v>6</v>
      </c>
      <c r="L549" s="4" t="s">
        <v>512</v>
      </c>
      <c r="M549" s="27" t="str">
        <f t="shared" si="85"/>
        <v>2-1-0-13-30-06</v>
      </c>
      <c r="N549" s="27" t="str">
        <f t="shared" si="86"/>
        <v>CAEMSUMATMBL</v>
      </c>
      <c r="O549" s="4">
        <f t="shared" si="60"/>
        <v>6</v>
      </c>
      <c r="P549" s="4" t="s">
        <v>780</v>
      </c>
      <c r="Q549" s="4" t="str">
        <f t="shared" si="87"/>
        <v>2-1-0-13-30-06-006</v>
      </c>
      <c r="R549" s="4" t="str">
        <f t="shared" si="88"/>
        <v>CAEMSUMATMBL PRESTAMOS CONTRATADO</v>
      </c>
    </row>
    <row r="550" spans="1:18" x14ac:dyDescent="0.2">
      <c r="A550" s="1">
        <v>2</v>
      </c>
      <c r="B550" s="6" t="str">
        <f>VLOOKUP(A550,'ACTIVOS CODIGO'!A:B,2,0)</f>
        <v>PASIVO</v>
      </c>
      <c r="C550" s="2">
        <v>1</v>
      </c>
      <c r="D550" s="7" t="str">
        <f>VLOOKUP(C550,'ACTIVOS CODIGO'!H:I,2,0)</f>
        <v>PASIVO DEL TESORO = PASIVO CORRIENTE</v>
      </c>
      <c r="E550" s="3"/>
      <c r="F550" s="8"/>
      <c r="G550" s="10">
        <v>133</v>
      </c>
      <c r="H550" s="10" t="str">
        <f>VLOOKUP(G550,'PUB 21'!$A$1:$B$29,2,0)</f>
        <v>DEPOSITOS DE TERCEROS</v>
      </c>
      <c r="I550"/>
      <c r="J550" s="4"/>
      <c r="K550">
        <v>6</v>
      </c>
      <c r="L550" s="4" t="s">
        <v>512</v>
      </c>
      <c r="M550" s="27" t="str">
        <f t="shared" ref="M550:M551" si="89">CONCATENATE(TEXT(A550,"0"),"-",TEXT(C550,"0"),"-",TEXT(E550,"0"),"-",TEXT(LEFT(G550,2),"00"),"-",TEXT(RIGHT(G550,1),"0"),TEXT(I550,"0"),"-",TEXT(K550,"00"))</f>
        <v>2-1-0-13-30-06</v>
      </c>
      <c r="N550" s="27" t="str">
        <f t="shared" ref="N550:N551" si="90">IF(L550="",IF(J550="",IF(H550="",IF(F550="",IF(D550="",B550,D550),F550),H550),J550),L550)</f>
        <v>CAEMSUMATMBL</v>
      </c>
      <c r="O550" s="4">
        <f t="shared" si="60"/>
        <v>7</v>
      </c>
      <c r="P550" s="4" t="s">
        <v>856</v>
      </c>
      <c r="Q550" s="4" t="str">
        <f t="shared" ref="Q550:Q551" si="91">CONCATENATE(TEXT(A550,"0"),"-",TEXT(C550,"0"),"-",TEXT(E550,"0"),"-",TEXT(LEFT(G550,2),"00"),"-",TEXT(RIGHT(G550,1),"0"),TEXT(I550,"0"),"-",TEXT(K550,"00"),"-",TEXT(O550,"000"))</f>
        <v>2-1-0-13-30-06-007</v>
      </c>
      <c r="R550" s="4" t="str">
        <f t="shared" ref="R550:R551" si="92">IF(P550="",IF(L550="",IF(J550="",IF(H550="",IF(F550="",IF(D550="",B550,D550),F550),H550),J550),L550),P550)</f>
        <v>CAEMSUMATMBL APORTE TRABAJADOR DIRECCION Y CONFIANZA</v>
      </c>
    </row>
    <row r="551" spans="1:18" x14ac:dyDescent="0.2">
      <c r="A551" s="1">
        <v>2</v>
      </c>
      <c r="B551" s="6" t="str">
        <f>VLOOKUP(A551,'ACTIVOS CODIGO'!A:B,2,0)</f>
        <v>PASIVO</v>
      </c>
      <c r="C551" s="2">
        <v>1</v>
      </c>
      <c r="D551" s="7" t="str">
        <f>VLOOKUP(C551,'ACTIVOS CODIGO'!H:I,2,0)</f>
        <v>PASIVO DEL TESORO = PASIVO CORRIENTE</v>
      </c>
      <c r="E551" s="3"/>
      <c r="F551" s="8"/>
      <c r="G551" s="10">
        <v>133</v>
      </c>
      <c r="H551" s="10" t="str">
        <f>VLOOKUP(G551,'PUB 21'!$A$1:$B$29,2,0)</f>
        <v>DEPOSITOS DE TERCEROS</v>
      </c>
      <c r="I551"/>
      <c r="J551" s="4"/>
      <c r="K551">
        <v>6</v>
      </c>
      <c r="L551" s="4" t="s">
        <v>512</v>
      </c>
      <c r="M551" s="27" t="str">
        <f t="shared" si="89"/>
        <v>2-1-0-13-30-06</v>
      </c>
      <c r="N551" s="27" t="str">
        <f t="shared" si="90"/>
        <v>CAEMSUMATMBL</v>
      </c>
      <c r="O551" s="4">
        <f t="shared" si="60"/>
        <v>8</v>
      </c>
      <c r="P551" s="4" t="s">
        <v>857</v>
      </c>
      <c r="Q551" s="4" t="str">
        <f t="shared" si="91"/>
        <v>2-1-0-13-30-06-008</v>
      </c>
      <c r="R551" s="4" t="str">
        <f t="shared" si="92"/>
        <v>CAEMSUMATMBL PRESTAMOS DIRECCION Y CONFIANZA</v>
      </c>
    </row>
    <row r="552" spans="1:18" x14ac:dyDescent="0.2">
      <c r="A552" s="1">
        <v>2</v>
      </c>
      <c r="B552" s="6" t="str">
        <f>VLOOKUP(A552,'ACTIVOS CODIGO'!A:B,2,0)</f>
        <v>PASIVO</v>
      </c>
      <c r="C552" s="2">
        <v>1</v>
      </c>
      <c r="D552" s="7" t="str">
        <f>VLOOKUP(C552,'ACTIVOS CODIGO'!H:I,2,0)</f>
        <v>PASIVO DEL TESORO = PASIVO CORRIENTE</v>
      </c>
      <c r="E552" s="3"/>
      <c r="F552" s="8"/>
      <c r="G552" s="10">
        <v>133</v>
      </c>
      <c r="H552" s="10" t="str">
        <f>VLOOKUP(G552,'PUB 21'!$A$1:$B$29,2,0)</f>
        <v>DEPOSITOS DE TERCEROS</v>
      </c>
      <c r="I552"/>
      <c r="J552" s="4"/>
      <c r="K552">
        <v>7</v>
      </c>
      <c r="L552" s="4" t="s">
        <v>541</v>
      </c>
      <c r="M552" s="27" t="str">
        <f t="shared" ref="M552:M635" si="93">CONCATENATE(TEXT(A552,"0"),"-",TEXT(C552,"0"),"-",TEXT(E552,"0"),"-",TEXT(LEFT(G552,2),"00"),"-",TEXT(RIGHT(G552,1),"0"),TEXT(I552,"0"),"-",TEXT(K552,"00"))</f>
        <v>2-1-0-13-30-07</v>
      </c>
      <c r="N552" s="27" t="str">
        <f t="shared" ref="N552:N635" si="94">IF(L552="",IF(J552="",IF(H552="",IF(F552="",IF(D552="",B552,D552),F552),H552),J552),L552)</f>
        <v>CAFUALCAML</v>
      </c>
      <c r="O552" s="4">
        <f t="shared" si="60"/>
        <v>0</v>
      </c>
      <c r="Q552" s="4" t="str">
        <f t="shared" si="52"/>
        <v>2-1-0-13-30-07-000</v>
      </c>
      <c r="R552" s="4" t="str">
        <f t="shared" ref="R552:R558" si="95">IF(P552="",IF(L552="",IF(J552="",IF(H552="",IF(F552="",IF(D552="",B552,D552),F552),H552),J552),L552),P552)</f>
        <v>CAFUALCAML</v>
      </c>
    </row>
    <row r="553" spans="1:18" x14ac:dyDescent="0.2">
      <c r="A553" s="1">
        <v>2</v>
      </c>
      <c r="B553" s="6" t="str">
        <f>VLOOKUP(A553,'ACTIVOS CODIGO'!A:B,2,0)</f>
        <v>PASIVO</v>
      </c>
      <c r="C553" s="2">
        <v>1</v>
      </c>
      <c r="D553" s="7" t="str">
        <f>VLOOKUP(C553,'ACTIVOS CODIGO'!H:I,2,0)</f>
        <v>PASIVO DEL TESORO = PASIVO CORRIENTE</v>
      </c>
      <c r="E553" s="3"/>
      <c r="F553" s="8"/>
      <c r="G553" s="10">
        <v>133</v>
      </c>
      <c r="H553" s="10" t="str">
        <f>VLOOKUP(G553,'PUB 21'!$A$1:$B$29,2,0)</f>
        <v>DEPOSITOS DE TERCEROS</v>
      </c>
      <c r="I553"/>
      <c r="J553" s="4"/>
      <c r="K553">
        <v>7</v>
      </c>
      <c r="L553" s="4" t="s">
        <v>541</v>
      </c>
      <c r="M553" s="27" t="str">
        <f t="shared" si="93"/>
        <v>2-1-0-13-30-07</v>
      </c>
      <c r="N553" s="27" t="str">
        <f t="shared" si="94"/>
        <v>CAFUALCAML</v>
      </c>
      <c r="O553" s="4">
        <f t="shared" si="60"/>
        <v>1</v>
      </c>
      <c r="P553" s="4" t="s">
        <v>557</v>
      </c>
      <c r="Q553" s="4" t="str">
        <f t="shared" si="52"/>
        <v>2-1-0-13-30-07-001</v>
      </c>
      <c r="R553" s="4" t="str">
        <f t="shared" si="95"/>
        <v>CAFUALCAML APORTE TRABAJADOR EMPLEADOS</v>
      </c>
    </row>
    <row r="554" spans="1:18" x14ac:dyDescent="0.2">
      <c r="A554" s="1">
        <v>2</v>
      </c>
      <c r="B554" s="6" t="str">
        <f>VLOOKUP(A554,'ACTIVOS CODIGO'!A:B,2,0)</f>
        <v>PASIVO</v>
      </c>
      <c r="C554" s="2">
        <v>1</v>
      </c>
      <c r="D554" s="7" t="str">
        <f>VLOOKUP(C554,'ACTIVOS CODIGO'!H:I,2,0)</f>
        <v>PASIVO DEL TESORO = PASIVO CORRIENTE</v>
      </c>
      <c r="E554" s="3"/>
      <c r="F554" s="8"/>
      <c r="G554" s="10">
        <v>133</v>
      </c>
      <c r="H554" s="10" t="str">
        <f>VLOOKUP(G554,'PUB 21'!$A$1:$B$29,2,0)</f>
        <v>DEPOSITOS DE TERCEROS</v>
      </c>
      <c r="I554"/>
      <c r="J554" s="4"/>
      <c r="K554">
        <v>7</v>
      </c>
      <c r="L554" s="4" t="s">
        <v>541</v>
      </c>
      <c r="M554" s="27" t="str">
        <f t="shared" si="93"/>
        <v>2-1-0-13-30-07</v>
      </c>
      <c r="N554" s="27" t="str">
        <f t="shared" si="94"/>
        <v>CAFUALCAML</v>
      </c>
      <c r="O554" s="4">
        <f t="shared" si="60"/>
        <v>2</v>
      </c>
      <c r="P554" s="4" t="s">
        <v>558</v>
      </c>
      <c r="Q554" s="4" t="str">
        <f t="shared" si="52"/>
        <v>2-1-0-13-30-07-002</v>
      </c>
      <c r="R554" s="4" t="str">
        <f t="shared" si="95"/>
        <v>CAFUALCAML PRESTAMO EMPLEADOS</v>
      </c>
    </row>
    <row r="555" spans="1:18" x14ac:dyDescent="0.2">
      <c r="A555" s="1">
        <v>2</v>
      </c>
      <c r="B555" s="6" t="str">
        <f>VLOOKUP(A555,'ACTIVOS CODIGO'!A:B,2,0)</f>
        <v>PASIVO</v>
      </c>
      <c r="C555" s="2">
        <v>1</v>
      </c>
      <c r="D555" s="7" t="str">
        <f>VLOOKUP(C555,'ACTIVOS CODIGO'!H:I,2,0)</f>
        <v>PASIVO DEL TESORO = PASIVO CORRIENTE</v>
      </c>
      <c r="E555" s="3"/>
      <c r="F555" s="8"/>
      <c r="G555" s="10">
        <v>133</v>
      </c>
      <c r="H555" s="10" t="str">
        <f>VLOOKUP(G555,'PUB 21'!$A$1:$B$29,2,0)</f>
        <v>DEPOSITOS DE TERCEROS</v>
      </c>
      <c r="I555"/>
      <c r="J555" s="4"/>
      <c r="K555">
        <v>7</v>
      </c>
      <c r="L555" s="4" t="s">
        <v>541</v>
      </c>
      <c r="M555" s="27" t="str">
        <f t="shared" si="93"/>
        <v>2-1-0-13-30-07</v>
      </c>
      <c r="N555" s="27" t="str">
        <f t="shared" si="94"/>
        <v>CAFUALCAML</v>
      </c>
      <c r="O555" s="4">
        <f t="shared" si="60"/>
        <v>3</v>
      </c>
      <c r="P555" s="4" t="s">
        <v>559</v>
      </c>
      <c r="Q555" s="4" t="str">
        <f t="shared" si="52"/>
        <v>2-1-0-13-30-07-003</v>
      </c>
      <c r="R555" s="4" t="str">
        <f t="shared" si="95"/>
        <v>CAFUALCAML APORTE TRABAJADOR OBREROS</v>
      </c>
    </row>
    <row r="556" spans="1:18" x14ac:dyDescent="0.2">
      <c r="A556" s="1">
        <v>2</v>
      </c>
      <c r="B556" s="6" t="str">
        <f>VLOOKUP(A556,'ACTIVOS CODIGO'!A:B,2,0)</f>
        <v>PASIVO</v>
      </c>
      <c r="C556" s="2">
        <v>1</v>
      </c>
      <c r="D556" s="7" t="str">
        <f>VLOOKUP(C556,'ACTIVOS CODIGO'!H:I,2,0)</f>
        <v>PASIVO DEL TESORO = PASIVO CORRIENTE</v>
      </c>
      <c r="E556" s="3"/>
      <c r="F556" s="8"/>
      <c r="G556" s="10">
        <v>133</v>
      </c>
      <c r="H556" s="10" t="str">
        <f>VLOOKUP(G556,'PUB 21'!$A$1:$B$29,2,0)</f>
        <v>DEPOSITOS DE TERCEROS</v>
      </c>
      <c r="I556"/>
      <c r="J556" s="4"/>
      <c r="K556">
        <v>7</v>
      </c>
      <c r="L556" s="4" t="s">
        <v>541</v>
      </c>
      <c r="M556" s="27" t="str">
        <f t="shared" si="93"/>
        <v>2-1-0-13-30-07</v>
      </c>
      <c r="N556" s="27" t="str">
        <f t="shared" si="94"/>
        <v>CAFUALCAML</v>
      </c>
      <c r="O556" s="4">
        <f t="shared" si="60"/>
        <v>4</v>
      </c>
      <c r="P556" s="4" t="s">
        <v>560</v>
      </c>
      <c r="Q556" s="4" t="str">
        <f t="shared" si="52"/>
        <v>2-1-0-13-30-07-004</v>
      </c>
      <c r="R556" s="4" t="str">
        <f t="shared" si="95"/>
        <v>CAFUALCAML PRESTAMO OBREROS</v>
      </c>
    </row>
    <row r="557" spans="1:18" x14ac:dyDescent="0.2">
      <c r="A557" s="1">
        <v>2</v>
      </c>
      <c r="B557" s="6" t="str">
        <f>VLOOKUP(A557,'ACTIVOS CODIGO'!A:B,2,0)</f>
        <v>PASIVO</v>
      </c>
      <c r="C557" s="2">
        <v>1</v>
      </c>
      <c r="D557" s="7" t="str">
        <f>VLOOKUP(C557,'ACTIVOS CODIGO'!H:I,2,0)</f>
        <v>PASIVO DEL TESORO = PASIVO CORRIENTE</v>
      </c>
      <c r="E557" s="3"/>
      <c r="F557" s="8"/>
      <c r="G557" s="10">
        <v>133</v>
      </c>
      <c r="H557" s="10" t="str">
        <f>VLOOKUP(G557,'PUB 21'!$A$1:$B$29,2,0)</f>
        <v>DEPOSITOS DE TERCEROS</v>
      </c>
      <c r="I557"/>
      <c r="J557" s="4"/>
      <c r="K557">
        <v>7</v>
      </c>
      <c r="L557" s="4" t="s">
        <v>541</v>
      </c>
      <c r="M557" s="27" t="str">
        <f t="shared" si="93"/>
        <v>2-1-0-13-30-07</v>
      </c>
      <c r="N557" s="27" t="str">
        <f t="shared" si="94"/>
        <v>CAFUALCAML</v>
      </c>
      <c r="O557" s="4">
        <f t="shared" si="60"/>
        <v>5</v>
      </c>
      <c r="P557" s="4" t="s">
        <v>561</v>
      </c>
      <c r="Q557" s="4" t="str">
        <f t="shared" si="52"/>
        <v>2-1-0-13-30-07-005</v>
      </c>
      <c r="R557" s="4" t="str">
        <f t="shared" si="95"/>
        <v>CAFUALCAML APORTE TRABAJADOR JUBILADOS</v>
      </c>
    </row>
    <row r="558" spans="1:18" x14ac:dyDescent="0.2">
      <c r="A558" s="1">
        <v>2</v>
      </c>
      <c r="B558" s="6" t="str">
        <f>VLOOKUP(A558,'ACTIVOS CODIGO'!A:B,2,0)</f>
        <v>PASIVO</v>
      </c>
      <c r="C558" s="2">
        <v>1</v>
      </c>
      <c r="D558" s="7" t="str">
        <f>VLOOKUP(C558,'ACTIVOS CODIGO'!H:I,2,0)</f>
        <v>PASIVO DEL TESORO = PASIVO CORRIENTE</v>
      </c>
      <c r="E558" s="3"/>
      <c r="F558" s="8"/>
      <c r="G558" s="10">
        <v>133</v>
      </c>
      <c r="H558" s="10" t="str">
        <f>VLOOKUP(G558,'PUB 21'!$A$1:$B$29,2,0)</f>
        <v>DEPOSITOS DE TERCEROS</v>
      </c>
      <c r="I558"/>
      <c r="J558" s="4"/>
      <c r="K558">
        <v>7</v>
      </c>
      <c r="L558" s="4" t="s">
        <v>541</v>
      </c>
      <c r="M558" s="27" t="str">
        <f t="shared" si="93"/>
        <v>2-1-0-13-30-07</v>
      </c>
      <c r="N558" s="27" t="str">
        <f t="shared" si="94"/>
        <v>CAFUALCAML</v>
      </c>
      <c r="O558" s="4">
        <f t="shared" si="60"/>
        <v>6</v>
      </c>
      <c r="P558" s="4" t="s">
        <v>562</v>
      </c>
      <c r="Q558" s="4" t="str">
        <f t="shared" si="52"/>
        <v>2-1-0-13-30-07-006</v>
      </c>
      <c r="R558" s="4" t="str">
        <f t="shared" si="95"/>
        <v>CAFUALCAML PRESTAMO JUBILADOS</v>
      </c>
    </row>
    <row r="559" spans="1:18" x14ac:dyDescent="0.2">
      <c r="A559" s="1">
        <v>2</v>
      </c>
      <c r="B559" s="6" t="str">
        <f>VLOOKUP(A559,'ACTIVOS CODIGO'!A:B,2,0)</f>
        <v>PASIVO</v>
      </c>
      <c r="C559" s="2">
        <v>1</v>
      </c>
      <c r="D559" s="7" t="str">
        <f>VLOOKUP(C559,'ACTIVOS CODIGO'!H:I,2,0)</f>
        <v>PASIVO DEL TESORO = PASIVO CORRIENTE</v>
      </c>
      <c r="E559" s="3"/>
      <c r="F559" s="8"/>
      <c r="G559" s="10">
        <v>133</v>
      </c>
      <c r="H559" s="10" t="str">
        <f>VLOOKUP(G559,'PUB 21'!$A$1:$B$29,2,0)</f>
        <v>DEPOSITOS DE TERCEROS</v>
      </c>
      <c r="I559"/>
      <c r="J559" s="4"/>
      <c r="K559">
        <v>7</v>
      </c>
      <c r="L559" s="4" t="s">
        <v>541</v>
      </c>
      <c r="M559" s="27" t="str">
        <f t="shared" ref="M559:M560" si="96">CONCATENATE(TEXT(A559,"0"),"-",TEXT(C559,"0"),"-",TEXT(E559,"0"),"-",TEXT(LEFT(G559,2),"00"),"-",TEXT(RIGHT(G559,1),"0"),TEXT(I559,"0"),"-",TEXT(K559,"00"))</f>
        <v>2-1-0-13-30-07</v>
      </c>
      <c r="N559" s="27" t="str">
        <f t="shared" ref="N559:N560" si="97">IF(L559="",IF(J559="",IF(H559="",IF(F559="",IF(D559="",B559,D559),F559),H559),J559),L559)</f>
        <v>CAFUALCAML</v>
      </c>
      <c r="O559" s="4">
        <f t="shared" si="60"/>
        <v>7</v>
      </c>
      <c r="P559" s="4" t="s">
        <v>782</v>
      </c>
      <c r="Q559" s="4" t="str">
        <f t="shared" ref="Q559:Q560" si="98">CONCATENATE(TEXT(A559,"0"),"-",TEXT(C559,"0"),"-",TEXT(E559,"0"),"-",TEXT(LEFT(G559,2),"00"),"-",TEXT(RIGHT(G559,1),"0"),TEXT(I559,"0"),"-",TEXT(K559,"00"),"-",TEXT(O559,"000"))</f>
        <v>2-1-0-13-30-07-007</v>
      </c>
      <c r="R559" s="4" t="str">
        <f t="shared" ref="R559:R560" si="99">IF(P559="",IF(L559="",IF(J559="",IF(H559="",IF(F559="",IF(D559="",B559,D559),F559),H559),J559),L559),P559)</f>
        <v>CAFUALCAML APORTE TRABAJADOR CONTRATADOS</v>
      </c>
    </row>
    <row r="560" spans="1:18" x14ac:dyDescent="0.2">
      <c r="A560" s="1">
        <v>2</v>
      </c>
      <c r="B560" s="6" t="str">
        <f>VLOOKUP(A560,'ACTIVOS CODIGO'!A:B,2,0)</f>
        <v>PASIVO</v>
      </c>
      <c r="C560" s="2">
        <v>1</v>
      </c>
      <c r="D560" s="7" t="str">
        <f>VLOOKUP(C560,'ACTIVOS CODIGO'!H:I,2,0)</f>
        <v>PASIVO DEL TESORO = PASIVO CORRIENTE</v>
      </c>
      <c r="E560" s="3"/>
      <c r="F560" s="8"/>
      <c r="G560" s="10">
        <v>133</v>
      </c>
      <c r="H560" s="10" t="str">
        <f>VLOOKUP(G560,'PUB 21'!$A$1:$B$29,2,0)</f>
        <v>DEPOSITOS DE TERCEROS</v>
      </c>
      <c r="I560"/>
      <c r="J560" s="4"/>
      <c r="K560">
        <v>7</v>
      </c>
      <c r="L560" s="4" t="s">
        <v>541</v>
      </c>
      <c r="M560" s="27" t="str">
        <f t="shared" si="96"/>
        <v>2-1-0-13-30-07</v>
      </c>
      <c r="N560" s="27" t="str">
        <f t="shared" si="97"/>
        <v>CAFUALCAML</v>
      </c>
      <c r="O560" s="4">
        <f t="shared" si="60"/>
        <v>8</v>
      </c>
      <c r="P560" s="4" t="s">
        <v>781</v>
      </c>
      <c r="Q560" s="4" t="str">
        <f t="shared" si="98"/>
        <v>2-1-0-13-30-07-008</v>
      </c>
      <c r="R560" s="4" t="str">
        <f t="shared" si="99"/>
        <v>CAFUALCAML PRESTAMO CONTRATADOS</v>
      </c>
    </row>
    <row r="561" spans="1:18" x14ac:dyDescent="0.2">
      <c r="A561" s="1">
        <v>2</v>
      </c>
      <c r="B561" s="6" t="str">
        <f>VLOOKUP(A561,'ACTIVOS CODIGO'!A:B,2,0)</f>
        <v>PASIVO</v>
      </c>
      <c r="C561" s="2">
        <v>1</v>
      </c>
      <c r="D561" s="7" t="str">
        <f>VLOOKUP(C561,'ACTIVOS CODIGO'!H:I,2,0)</f>
        <v>PASIVO DEL TESORO = PASIVO CORRIENTE</v>
      </c>
      <c r="E561" s="3"/>
      <c r="F561" s="8"/>
      <c r="G561" s="10">
        <v>133</v>
      </c>
      <c r="H561" s="10" t="str">
        <f>VLOOKUP(G561,'PUB 21'!$A$1:$B$29,2,0)</f>
        <v>DEPOSITOS DE TERCEROS</v>
      </c>
      <c r="I561"/>
      <c r="J561" s="4"/>
      <c r="K561">
        <v>7</v>
      </c>
      <c r="L561" s="4" t="s">
        <v>541</v>
      </c>
      <c r="M561" s="27" t="str">
        <f t="shared" ref="M561:M562" si="100">CONCATENATE(TEXT(A561,"0"),"-",TEXT(C561,"0"),"-",TEXT(E561,"0"),"-",TEXT(LEFT(G561,2),"00"),"-",TEXT(RIGHT(G561,1),"0"),TEXT(I561,"0"),"-",TEXT(K561,"00"))</f>
        <v>2-1-0-13-30-07</v>
      </c>
      <c r="N561" s="27" t="str">
        <f t="shared" ref="N561:N562" si="101">IF(L561="",IF(J561="",IF(H561="",IF(F561="",IF(D561="",B561,D561),F561),H561),J561),L561)</f>
        <v>CAFUALCAML</v>
      </c>
      <c r="O561" s="4">
        <f t="shared" si="60"/>
        <v>9</v>
      </c>
      <c r="P561" s="4" t="s">
        <v>858</v>
      </c>
      <c r="Q561" s="4" t="str">
        <f t="shared" ref="Q561:Q562" si="102">CONCATENATE(TEXT(A561,"0"),"-",TEXT(C561,"0"),"-",TEXT(E561,"0"),"-",TEXT(LEFT(G561,2),"00"),"-",TEXT(RIGHT(G561,1),"0"),TEXT(I561,"0"),"-",TEXT(K561,"00"),"-",TEXT(O561,"000"))</f>
        <v>2-1-0-13-30-07-009</v>
      </c>
      <c r="R561" s="4" t="str">
        <f t="shared" ref="R561:R562" si="103">IF(P561="",IF(L561="",IF(J561="",IF(H561="",IF(F561="",IF(D561="",B561,D561),F561),H561),J561),L561),P561)</f>
        <v>CAFUALCAML APORTE TRABAJADOR DIRECCION Y CONFIANZA</v>
      </c>
    </row>
    <row r="562" spans="1:18" x14ac:dyDescent="0.2">
      <c r="A562" s="1">
        <v>2</v>
      </c>
      <c r="B562" s="6" t="str">
        <f>VLOOKUP(A562,'ACTIVOS CODIGO'!A:B,2,0)</f>
        <v>PASIVO</v>
      </c>
      <c r="C562" s="2">
        <v>1</v>
      </c>
      <c r="D562" s="7" t="str">
        <f>VLOOKUP(C562,'ACTIVOS CODIGO'!H:I,2,0)</f>
        <v>PASIVO DEL TESORO = PASIVO CORRIENTE</v>
      </c>
      <c r="E562" s="3"/>
      <c r="F562" s="8"/>
      <c r="G562" s="10">
        <v>133</v>
      </c>
      <c r="H562" s="10" t="str">
        <f>VLOOKUP(G562,'PUB 21'!$A$1:$B$29,2,0)</f>
        <v>DEPOSITOS DE TERCEROS</v>
      </c>
      <c r="I562"/>
      <c r="J562" s="4"/>
      <c r="K562">
        <v>7</v>
      </c>
      <c r="L562" s="4" t="s">
        <v>541</v>
      </c>
      <c r="M562" s="27" t="str">
        <f t="shared" si="100"/>
        <v>2-1-0-13-30-07</v>
      </c>
      <c r="N562" s="27" t="str">
        <f t="shared" si="101"/>
        <v>CAFUALCAML</v>
      </c>
      <c r="O562" s="4">
        <f t="shared" si="60"/>
        <v>10</v>
      </c>
      <c r="P562" s="4" t="s">
        <v>859</v>
      </c>
      <c r="Q562" s="4" t="str">
        <f t="shared" si="102"/>
        <v>2-1-0-13-30-07-010</v>
      </c>
      <c r="R562" s="4" t="str">
        <f t="shared" si="103"/>
        <v>CAFUALCAML PRESTAMO DIRECCION Y CONFIANZA</v>
      </c>
    </row>
    <row r="563" spans="1:18" x14ac:dyDescent="0.2">
      <c r="A563" s="1">
        <v>2</v>
      </c>
      <c r="B563" s="6" t="str">
        <f>VLOOKUP(A563,'ACTIVOS CODIGO'!A:B,2,0)</f>
        <v>PASIVO</v>
      </c>
      <c r="C563" s="2">
        <v>1</v>
      </c>
      <c r="D563" s="7" t="str">
        <f>VLOOKUP(C563,'ACTIVOS CODIGO'!H:I,2,0)</f>
        <v>PASIVO DEL TESORO = PASIVO CORRIENTE</v>
      </c>
      <c r="E563" s="3"/>
      <c r="F563" s="8"/>
      <c r="G563" s="10">
        <v>133</v>
      </c>
      <c r="H563" s="10" t="str">
        <f>VLOOKUP(G563,'PUB 21'!$A$1:$B$29,2,0)</f>
        <v>DEPOSITOS DE TERCEROS</v>
      </c>
      <c r="I563"/>
      <c r="J563" s="4"/>
      <c r="K563">
        <v>8</v>
      </c>
      <c r="L563" s="4" t="s">
        <v>514</v>
      </c>
      <c r="M563" s="27" t="str">
        <f t="shared" si="93"/>
        <v>2-1-0-13-30-08</v>
      </c>
      <c r="N563" s="27" t="str">
        <f t="shared" si="94"/>
        <v>CAMUBOL</v>
      </c>
      <c r="O563" s="4">
        <f t="shared" si="60"/>
        <v>0</v>
      </c>
      <c r="Q563" s="4" t="str">
        <f t="shared" si="52"/>
        <v>2-1-0-13-30-08-000</v>
      </c>
      <c r="R563" s="4" t="str">
        <f t="shared" ref="R563:R634" si="104">IF(P563="",IF(L563="",IF(J563="",IF(H563="",IF(F563="",IF(D563="",B563,D563),F563),H563),J563),L563),P563)</f>
        <v>CAMUBOL</v>
      </c>
    </row>
    <row r="564" spans="1:18" x14ac:dyDescent="0.2">
      <c r="A564" s="1">
        <v>2</v>
      </c>
      <c r="B564" s="6" t="str">
        <f>VLOOKUP(A564,'ACTIVOS CODIGO'!A:B,2,0)</f>
        <v>PASIVO</v>
      </c>
      <c r="C564" s="2">
        <v>1</v>
      </c>
      <c r="D564" s="7" t="str">
        <f>VLOOKUP(C564,'ACTIVOS CODIGO'!H:I,2,0)</f>
        <v>PASIVO DEL TESORO = PASIVO CORRIENTE</v>
      </c>
      <c r="E564" s="3"/>
      <c r="F564" s="8"/>
      <c r="G564" s="10">
        <v>133</v>
      </c>
      <c r="H564" s="10" t="str">
        <f>VLOOKUP(G564,'PUB 21'!$A$1:$B$29,2,0)</f>
        <v>DEPOSITOS DE TERCEROS</v>
      </c>
      <c r="I564"/>
      <c r="J564" s="4"/>
      <c r="K564">
        <v>8</v>
      </c>
      <c r="L564" s="4" t="s">
        <v>514</v>
      </c>
      <c r="M564" s="27" t="str">
        <f t="shared" si="93"/>
        <v>2-1-0-13-30-08</v>
      </c>
      <c r="N564" s="27" t="str">
        <f t="shared" si="94"/>
        <v>CAMUBOL</v>
      </c>
      <c r="O564" s="4">
        <f t="shared" si="60"/>
        <v>1</v>
      </c>
      <c r="P564" s="4" t="s">
        <v>563</v>
      </c>
      <c r="Q564" s="4" t="str">
        <f t="shared" si="52"/>
        <v>2-1-0-13-30-08-001</v>
      </c>
      <c r="R564" s="4" t="str">
        <f t="shared" si="104"/>
        <v>CAMUBOL APORTE TRABAJADOR EMPLEADOS</v>
      </c>
    </row>
    <row r="565" spans="1:18" x14ac:dyDescent="0.2">
      <c r="A565" s="1">
        <v>2</v>
      </c>
      <c r="B565" s="6" t="str">
        <f>VLOOKUP(A565,'ACTIVOS CODIGO'!A:B,2,0)</f>
        <v>PASIVO</v>
      </c>
      <c r="C565" s="2">
        <v>1</v>
      </c>
      <c r="D565" s="7" t="str">
        <f>VLOOKUP(C565,'ACTIVOS CODIGO'!H:I,2,0)</f>
        <v>PASIVO DEL TESORO = PASIVO CORRIENTE</v>
      </c>
      <c r="E565" s="3"/>
      <c r="F565" s="8"/>
      <c r="G565" s="10">
        <v>133</v>
      </c>
      <c r="H565" s="10" t="str">
        <f>VLOOKUP(G565,'PUB 21'!$A$1:$B$29,2,0)</f>
        <v>DEPOSITOS DE TERCEROS</v>
      </c>
      <c r="I565"/>
      <c r="J565" s="4"/>
      <c r="K565">
        <v>8</v>
      </c>
      <c r="L565" s="4" t="s">
        <v>514</v>
      </c>
      <c r="M565" s="27" t="str">
        <f t="shared" si="93"/>
        <v>2-1-0-13-30-08</v>
      </c>
      <c r="N565" s="27" t="str">
        <f t="shared" si="94"/>
        <v>CAMUBOL</v>
      </c>
      <c r="O565" s="4">
        <f t="shared" si="60"/>
        <v>2</v>
      </c>
      <c r="P565" s="4" t="s">
        <v>564</v>
      </c>
      <c r="Q565" s="4" t="str">
        <f t="shared" si="52"/>
        <v>2-1-0-13-30-08-002</v>
      </c>
      <c r="R565" s="4" t="str">
        <f t="shared" si="104"/>
        <v>CAMUBOL PRESTAMO EMPLEADOS</v>
      </c>
    </row>
    <row r="566" spans="1:18" x14ac:dyDescent="0.2">
      <c r="A566" s="1">
        <v>2</v>
      </c>
      <c r="B566" s="6" t="str">
        <f>VLOOKUP(A566,'ACTIVOS CODIGO'!A:B,2,0)</f>
        <v>PASIVO</v>
      </c>
      <c r="C566" s="2">
        <v>1</v>
      </c>
      <c r="D566" s="7" t="str">
        <f>VLOOKUP(C566,'ACTIVOS CODIGO'!H:I,2,0)</f>
        <v>PASIVO DEL TESORO = PASIVO CORRIENTE</v>
      </c>
      <c r="E566" s="3"/>
      <c r="F566" s="8"/>
      <c r="G566" s="10">
        <v>133</v>
      </c>
      <c r="H566" s="10" t="str">
        <f>VLOOKUP(G566,'PUB 21'!$A$1:$B$29,2,0)</f>
        <v>DEPOSITOS DE TERCEROS</v>
      </c>
      <c r="I566"/>
      <c r="J566" s="4"/>
      <c r="K566">
        <v>8</v>
      </c>
      <c r="L566" s="4" t="s">
        <v>514</v>
      </c>
      <c r="M566" s="27" t="str">
        <f t="shared" si="93"/>
        <v>2-1-0-13-30-08</v>
      </c>
      <c r="N566" s="27" t="str">
        <f t="shared" si="94"/>
        <v>CAMUBOL</v>
      </c>
      <c r="O566" s="4">
        <f t="shared" si="60"/>
        <v>3</v>
      </c>
      <c r="P566" s="4" t="s">
        <v>565</v>
      </c>
      <c r="Q566" s="4" t="str">
        <f t="shared" si="52"/>
        <v>2-1-0-13-30-08-003</v>
      </c>
      <c r="R566" s="4" t="str">
        <f t="shared" si="104"/>
        <v>CAMUBOL APORTE TRABAJADOR OBREROS</v>
      </c>
    </row>
    <row r="567" spans="1:18" x14ac:dyDescent="0.2">
      <c r="A567" s="1">
        <v>2</v>
      </c>
      <c r="B567" s="6" t="str">
        <f>VLOOKUP(A567,'ACTIVOS CODIGO'!A:B,2,0)</f>
        <v>PASIVO</v>
      </c>
      <c r="C567" s="2">
        <v>1</v>
      </c>
      <c r="D567" s="7" t="str">
        <f>VLOOKUP(C567,'ACTIVOS CODIGO'!H:I,2,0)</f>
        <v>PASIVO DEL TESORO = PASIVO CORRIENTE</v>
      </c>
      <c r="E567" s="3"/>
      <c r="F567" s="8"/>
      <c r="G567" s="10">
        <v>133</v>
      </c>
      <c r="H567" s="10" t="str">
        <f>VLOOKUP(G567,'PUB 21'!$A$1:$B$29,2,0)</f>
        <v>DEPOSITOS DE TERCEROS</v>
      </c>
      <c r="I567"/>
      <c r="J567" s="4"/>
      <c r="K567">
        <v>8</v>
      </c>
      <c r="L567" s="4" t="s">
        <v>514</v>
      </c>
      <c r="M567" s="27" t="str">
        <f t="shared" si="93"/>
        <v>2-1-0-13-30-08</v>
      </c>
      <c r="N567" s="27" t="str">
        <f t="shared" si="94"/>
        <v>CAMUBOL</v>
      </c>
      <c r="O567" s="4">
        <f t="shared" si="60"/>
        <v>4</v>
      </c>
      <c r="P567" s="4" t="s">
        <v>566</v>
      </c>
      <c r="Q567" s="4" t="str">
        <f t="shared" si="52"/>
        <v>2-1-0-13-30-08-004</v>
      </c>
      <c r="R567" s="4" t="str">
        <f t="shared" si="104"/>
        <v>CAMUBOL PRESTAMO OBREROS</v>
      </c>
    </row>
    <row r="568" spans="1:18" x14ac:dyDescent="0.2">
      <c r="A568" s="1">
        <v>2</v>
      </c>
      <c r="B568" s="6" t="str">
        <f>VLOOKUP(A568,'ACTIVOS CODIGO'!A:B,2,0)</f>
        <v>PASIVO</v>
      </c>
      <c r="C568" s="2">
        <v>1</v>
      </c>
      <c r="D568" s="7" t="str">
        <f>VLOOKUP(C568,'ACTIVOS CODIGO'!H:I,2,0)</f>
        <v>PASIVO DEL TESORO = PASIVO CORRIENTE</v>
      </c>
      <c r="E568" s="3"/>
      <c r="F568" s="8"/>
      <c r="G568" s="10">
        <v>133</v>
      </c>
      <c r="H568" s="10" t="str">
        <f>VLOOKUP(G568,'PUB 21'!$A$1:$B$29,2,0)</f>
        <v>DEPOSITOS DE TERCEROS</v>
      </c>
      <c r="I568"/>
      <c r="J568" s="4"/>
      <c r="K568">
        <v>8</v>
      </c>
      <c r="L568" s="4" t="s">
        <v>514</v>
      </c>
      <c r="M568" s="27" t="str">
        <f t="shared" si="93"/>
        <v>2-1-0-13-30-08</v>
      </c>
      <c r="N568" s="27" t="str">
        <f t="shared" si="94"/>
        <v>CAMUBOL</v>
      </c>
      <c r="O568" s="4">
        <f t="shared" si="60"/>
        <v>5</v>
      </c>
      <c r="P568" s="4" t="s">
        <v>567</v>
      </c>
      <c r="Q568" s="4" t="str">
        <f t="shared" si="52"/>
        <v>2-1-0-13-30-08-005</v>
      </c>
      <c r="R568" s="4" t="str">
        <f t="shared" si="104"/>
        <v>CAMUBOL APORTE TRABAJADOR JUBILADOS</v>
      </c>
    </row>
    <row r="569" spans="1:18" x14ac:dyDescent="0.2">
      <c r="A569" s="1">
        <v>2</v>
      </c>
      <c r="B569" s="6" t="str">
        <f>VLOOKUP(A569,'ACTIVOS CODIGO'!A:B,2,0)</f>
        <v>PASIVO</v>
      </c>
      <c r="C569" s="2">
        <v>1</v>
      </c>
      <c r="D569" s="7" t="str">
        <f>VLOOKUP(C569,'ACTIVOS CODIGO'!H:I,2,0)</f>
        <v>PASIVO DEL TESORO = PASIVO CORRIENTE</v>
      </c>
      <c r="E569" s="3"/>
      <c r="F569" s="8"/>
      <c r="G569" s="10">
        <v>133</v>
      </c>
      <c r="H569" s="10" t="str">
        <f>VLOOKUP(G569,'PUB 21'!$A$1:$B$29,2,0)</f>
        <v>DEPOSITOS DE TERCEROS</v>
      </c>
      <c r="I569"/>
      <c r="J569" s="4"/>
      <c r="K569">
        <v>8</v>
      </c>
      <c r="L569" s="4" t="s">
        <v>514</v>
      </c>
      <c r="M569" s="27" t="str">
        <f t="shared" si="93"/>
        <v>2-1-0-13-30-08</v>
      </c>
      <c r="N569" s="27" t="str">
        <f t="shared" si="94"/>
        <v>CAMUBOL</v>
      </c>
      <c r="O569" s="4">
        <f t="shared" ref="O569:O632" si="105">IF(P569="",0,IF(M568=M569,IF(O568="",0,O568)+1,""))</f>
        <v>6</v>
      </c>
      <c r="P569" s="4" t="s">
        <v>568</v>
      </c>
      <c r="Q569" s="4" t="str">
        <f t="shared" si="52"/>
        <v>2-1-0-13-30-08-006</v>
      </c>
      <c r="R569" s="4" t="str">
        <f t="shared" si="104"/>
        <v>CAMUBOL PRESTAMO JUBILADOS</v>
      </c>
    </row>
    <row r="570" spans="1:18" x14ac:dyDescent="0.2">
      <c r="A570" s="1">
        <v>2</v>
      </c>
      <c r="B570" s="6" t="str">
        <f>VLOOKUP(A570,'ACTIVOS CODIGO'!A:B,2,0)</f>
        <v>PASIVO</v>
      </c>
      <c r="C570" s="2">
        <v>1</v>
      </c>
      <c r="D570" s="7" t="str">
        <f>VLOOKUP(C570,'ACTIVOS CODIGO'!H:I,2,0)</f>
        <v>PASIVO DEL TESORO = PASIVO CORRIENTE</v>
      </c>
      <c r="E570" s="3"/>
      <c r="F570" s="8"/>
      <c r="G570" s="10">
        <v>133</v>
      </c>
      <c r="H570" s="10" t="str">
        <f>VLOOKUP(G570,'PUB 21'!$A$1:$B$29,2,0)</f>
        <v>DEPOSITOS DE TERCEROS</v>
      </c>
      <c r="I570"/>
      <c r="J570" s="4"/>
      <c r="K570">
        <v>8</v>
      </c>
      <c r="L570" s="4" t="s">
        <v>514</v>
      </c>
      <c r="M570" s="27" t="str">
        <f t="shared" ref="M570:M571" si="106">CONCATENATE(TEXT(A570,"0"),"-",TEXT(C570,"0"),"-",TEXT(E570,"0"),"-",TEXT(LEFT(G570,2),"00"),"-",TEXT(RIGHT(G570,1),"0"),TEXT(I570,"0"),"-",TEXT(K570,"00"))</f>
        <v>2-1-0-13-30-08</v>
      </c>
      <c r="N570" s="27" t="str">
        <f t="shared" ref="N570:N571" si="107">IF(L570="",IF(J570="",IF(H570="",IF(F570="",IF(D570="",B570,D570),F570),H570),J570),L570)</f>
        <v>CAMUBOL</v>
      </c>
      <c r="O570" s="4">
        <f t="shared" si="105"/>
        <v>7</v>
      </c>
      <c r="P570" s="4" t="s">
        <v>783</v>
      </c>
      <c r="Q570" s="4" t="str">
        <f t="shared" ref="Q570:Q571" si="108">CONCATENATE(TEXT(A570,"0"),"-",TEXT(C570,"0"),"-",TEXT(E570,"0"),"-",TEXT(LEFT(G570,2),"00"),"-",TEXT(RIGHT(G570,1),"0"),TEXT(I570,"0"),"-",TEXT(K570,"00"),"-",TEXT(O570,"000"))</f>
        <v>2-1-0-13-30-08-007</v>
      </c>
      <c r="R570" s="4" t="str">
        <f t="shared" si="104"/>
        <v>CAMUBOL APORTE TRABAJADOR CONTRATADOS</v>
      </c>
    </row>
    <row r="571" spans="1:18" x14ac:dyDescent="0.2">
      <c r="A571" s="1">
        <v>2</v>
      </c>
      <c r="B571" s="6" t="str">
        <f>VLOOKUP(A571,'ACTIVOS CODIGO'!A:B,2,0)</f>
        <v>PASIVO</v>
      </c>
      <c r="C571" s="2">
        <v>1</v>
      </c>
      <c r="D571" s="7" t="str">
        <f>VLOOKUP(C571,'ACTIVOS CODIGO'!H:I,2,0)</f>
        <v>PASIVO DEL TESORO = PASIVO CORRIENTE</v>
      </c>
      <c r="E571" s="3"/>
      <c r="F571" s="8"/>
      <c r="G571" s="10">
        <v>133</v>
      </c>
      <c r="H571" s="10" t="str">
        <f>VLOOKUP(G571,'PUB 21'!$A$1:$B$29,2,0)</f>
        <v>DEPOSITOS DE TERCEROS</v>
      </c>
      <c r="I571"/>
      <c r="J571" s="4"/>
      <c r="K571">
        <v>8</v>
      </c>
      <c r="L571" s="4" t="s">
        <v>514</v>
      </c>
      <c r="M571" s="27" t="str">
        <f t="shared" si="106"/>
        <v>2-1-0-13-30-08</v>
      </c>
      <c r="N571" s="27" t="str">
        <f t="shared" si="107"/>
        <v>CAMUBOL</v>
      </c>
      <c r="O571" s="4">
        <f t="shared" si="105"/>
        <v>8</v>
      </c>
      <c r="P571" s="4" t="s">
        <v>784</v>
      </c>
      <c r="Q571" s="4" t="str">
        <f t="shared" si="108"/>
        <v>2-1-0-13-30-08-008</v>
      </c>
      <c r="R571" s="4" t="str">
        <f t="shared" si="104"/>
        <v>CAMUBOL PRESTAMO CONTRATADOS</v>
      </c>
    </row>
    <row r="572" spans="1:18" x14ac:dyDescent="0.2">
      <c r="A572" s="1">
        <v>2</v>
      </c>
      <c r="B572" s="6" t="str">
        <f>VLOOKUP(A572,'ACTIVOS CODIGO'!A:B,2,0)</f>
        <v>PASIVO</v>
      </c>
      <c r="C572" s="2">
        <v>1</v>
      </c>
      <c r="D572" s="7" t="str">
        <f>VLOOKUP(C572,'ACTIVOS CODIGO'!H:I,2,0)</f>
        <v>PASIVO DEL TESORO = PASIVO CORRIENTE</v>
      </c>
      <c r="E572" s="3"/>
      <c r="F572" s="8"/>
      <c r="G572" s="10">
        <v>133</v>
      </c>
      <c r="H572" s="10" t="str">
        <f>VLOOKUP(G572,'PUB 21'!$A$1:$B$29,2,0)</f>
        <v>DEPOSITOS DE TERCEROS</v>
      </c>
      <c r="I572"/>
      <c r="J572" s="4"/>
      <c r="K572">
        <v>8</v>
      </c>
      <c r="L572" s="4" t="s">
        <v>514</v>
      </c>
      <c r="M572" s="27" t="str">
        <f t="shared" ref="M572:M573" si="109">CONCATENATE(TEXT(A572,"0"),"-",TEXT(C572,"0"),"-",TEXT(E572,"0"),"-",TEXT(LEFT(G572,2),"00"),"-",TEXT(RIGHT(G572,1),"0"),TEXT(I572,"0"),"-",TEXT(K572,"00"))</f>
        <v>2-1-0-13-30-08</v>
      </c>
      <c r="N572" s="27" t="str">
        <f t="shared" ref="N572:N573" si="110">IF(L572="",IF(J572="",IF(H572="",IF(F572="",IF(D572="",B572,D572),F572),H572),J572),L572)</f>
        <v>CAMUBOL</v>
      </c>
      <c r="O572" s="4">
        <f t="shared" si="105"/>
        <v>9</v>
      </c>
      <c r="P572" s="4" t="s">
        <v>860</v>
      </c>
      <c r="Q572" s="4" t="str">
        <f t="shared" ref="Q572:Q573" si="111">CONCATENATE(TEXT(A572,"0"),"-",TEXT(C572,"0"),"-",TEXT(E572,"0"),"-",TEXT(LEFT(G572,2),"00"),"-",TEXT(RIGHT(G572,1),"0"),TEXT(I572,"0"),"-",TEXT(K572,"00"),"-",TEXT(O572,"000"))</f>
        <v>2-1-0-13-30-08-009</v>
      </c>
      <c r="R572" s="4" t="str">
        <f t="shared" ref="R572:R573" si="112">IF(P572="",IF(L572="",IF(J572="",IF(H572="",IF(F572="",IF(D572="",B572,D572),F572),H572),J572),L572),P572)</f>
        <v>CAMUBOL APORTE TRABAJADOR DIRECCION Y CONFIANZA</v>
      </c>
    </row>
    <row r="573" spans="1:18" x14ac:dyDescent="0.2">
      <c r="A573" s="1">
        <v>2</v>
      </c>
      <c r="B573" s="6" t="str">
        <f>VLOOKUP(A573,'ACTIVOS CODIGO'!A:B,2,0)</f>
        <v>PASIVO</v>
      </c>
      <c r="C573" s="2">
        <v>1</v>
      </c>
      <c r="D573" s="7" t="str">
        <f>VLOOKUP(C573,'ACTIVOS CODIGO'!H:I,2,0)</f>
        <v>PASIVO DEL TESORO = PASIVO CORRIENTE</v>
      </c>
      <c r="E573" s="3"/>
      <c r="F573" s="8"/>
      <c r="G573" s="10">
        <v>133</v>
      </c>
      <c r="H573" s="10" t="str">
        <f>VLOOKUP(G573,'PUB 21'!$A$1:$B$29,2,0)</f>
        <v>DEPOSITOS DE TERCEROS</v>
      </c>
      <c r="I573"/>
      <c r="J573" s="4"/>
      <c r="K573">
        <v>8</v>
      </c>
      <c r="L573" s="4" t="s">
        <v>514</v>
      </c>
      <c r="M573" s="27" t="str">
        <f t="shared" si="109"/>
        <v>2-1-0-13-30-08</v>
      </c>
      <c r="N573" s="27" t="str">
        <f t="shared" si="110"/>
        <v>CAMUBOL</v>
      </c>
      <c r="O573" s="4">
        <f t="shared" si="105"/>
        <v>10</v>
      </c>
      <c r="P573" s="4" t="s">
        <v>861</v>
      </c>
      <c r="Q573" s="4" t="str">
        <f t="shared" si="111"/>
        <v>2-1-0-13-30-08-010</v>
      </c>
      <c r="R573" s="4" t="str">
        <f t="shared" si="112"/>
        <v>CAMUBOL PRESTAMO DIRECCION Y CONFIANZA</v>
      </c>
    </row>
    <row r="574" spans="1:18" x14ac:dyDescent="0.2">
      <c r="A574" s="1">
        <v>2</v>
      </c>
      <c r="B574" s="6" t="str">
        <f>VLOOKUP(A574,'ACTIVOS CODIGO'!A:B,2,0)</f>
        <v>PASIVO</v>
      </c>
      <c r="C574" s="2">
        <v>1</v>
      </c>
      <c r="D574" s="7" t="str">
        <f>VLOOKUP(C574,'ACTIVOS CODIGO'!H:I,2,0)</f>
        <v>PASIVO DEL TESORO = PASIVO CORRIENTE</v>
      </c>
      <c r="E574" s="3"/>
      <c r="F574" s="8"/>
      <c r="G574" s="10">
        <v>133</v>
      </c>
      <c r="H574" s="10" t="str">
        <f>VLOOKUP(G574,'PUB 21'!$A$1:$B$29,2,0)</f>
        <v>DEPOSITOS DE TERCEROS</v>
      </c>
      <c r="I574"/>
      <c r="J574" s="4"/>
      <c r="K574">
        <v>9</v>
      </c>
      <c r="L574" s="4" t="s">
        <v>513</v>
      </c>
      <c r="M574" s="27" t="str">
        <f t="shared" si="93"/>
        <v>2-1-0-13-30-09</v>
      </c>
      <c r="N574" s="27" t="str">
        <f t="shared" si="94"/>
        <v>CAPREPROSERPUAMBL</v>
      </c>
      <c r="O574" s="4">
        <f t="shared" si="105"/>
        <v>0</v>
      </c>
      <c r="Q574" s="4" t="str">
        <f t="shared" si="52"/>
        <v>2-1-0-13-30-09-000</v>
      </c>
      <c r="R574" s="4" t="str">
        <f t="shared" si="104"/>
        <v>CAPREPROSERPUAMBL</v>
      </c>
    </row>
    <row r="575" spans="1:18" x14ac:dyDescent="0.2">
      <c r="A575" s="1">
        <v>2</v>
      </c>
      <c r="B575" s="6" t="str">
        <f>VLOOKUP(A575,'ACTIVOS CODIGO'!A:B,2,0)</f>
        <v>PASIVO</v>
      </c>
      <c r="C575" s="2">
        <v>1</v>
      </c>
      <c r="D575" s="7" t="str">
        <f>VLOOKUP(C575,'ACTIVOS CODIGO'!H:I,2,0)</f>
        <v>PASIVO DEL TESORO = PASIVO CORRIENTE</v>
      </c>
      <c r="E575" s="3"/>
      <c r="F575" s="8"/>
      <c r="G575" s="10">
        <v>133</v>
      </c>
      <c r="H575" s="10" t="str">
        <f>VLOOKUP(G575,'PUB 21'!$A$1:$B$29,2,0)</f>
        <v>DEPOSITOS DE TERCEROS</v>
      </c>
      <c r="I575"/>
      <c r="J575" s="4"/>
      <c r="K575">
        <v>9</v>
      </c>
      <c r="L575" s="4" t="s">
        <v>513</v>
      </c>
      <c r="M575" s="27" t="str">
        <f t="shared" si="93"/>
        <v>2-1-0-13-30-09</v>
      </c>
      <c r="N575" s="27" t="str">
        <f t="shared" si="94"/>
        <v>CAPREPROSERPUAMBL</v>
      </c>
      <c r="O575" s="4">
        <f t="shared" si="105"/>
        <v>1</v>
      </c>
      <c r="P575" s="4" t="s">
        <v>569</v>
      </c>
      <c r="Q575" s="4" t="str">
        <f t="shared" si="52"/>
        <v>2-1-0-13-30-09-001</v>
      </c>
      <c r="R575" s="4" t="str">
        <f t="shared" si="104"/>
        <v>CAPREPROSERPUAMBL APORTE TRABAJADOR EMPLEADOS</v>
      </c>
    </row>
    <row r="576" spans="1:18" x14ac:dyDescent="0.2">
      <c r="A576" s="1">
        <v>2</v>
      </c>
      <c r="B576" s="6" t="str">
        <f>VLOOKUP(A576,'ACTIVOS CODIGO'!A:B,2,0)</f>
        <v>PASIVO</v>
      </c>
      <c r="C576" s="2">
        <v>1</v>
      </c>
      <c r="D576" s="7" t="str">
        <f>VLOOKUP(C576,'ACTIVOS CODIGO'!H:I,2,0)</f>
        <v>PASIVO DEL TESORO = PASIVO CORRIENTE</v>
      </c>
      <c r="E576" s="3"/>
      <c r="F576" s="8"/>
      <c r="G576" s="10">
        <v>133</v>
      </c>
      <c r="H576" s="10" t="str">
        <f>VLOOKUP(G576,'PUB 21'!$A$1:$B$29,2,0)</f>
        <v>DEPOSITOS DE TERCEROS</v>
      </c>
      <c r="I576"/>
      <c r="J576" s="4"/>
      <c r="K576">
        <v>9</v>
      </c>
      <c r="L576" s="4" t="s">
        <v>513</v>
      </c>
      <c r="M576" s="27" t="str">
        <f t="shared" si="93"/>
        <v>2-1-0-13-30-09</v>
      </c>
      <c r="N576" s="27" t="str">
        <f t="shared" si="94"/>
        <v>CAPREPROSERPUAMBL</v>
      </c>
      <c r="O576" s="4">
        <f t="shared" si="105"/>
        <v>2</v>
      </c>
      <c r="P576" s="4" t="s">
        <v>570</v>
      </c>
      <c r="Q576" s="4" t="str">
        <f t="shared" si="52"/>
        <v>2-1-0-13-30-09-002</v>
      </c>
      <c r="R576" s="4" t="str">
        <f t="shared" si="104"/>
        <v>CAPREPROSERPUAMBL APORTE TRABAJADOR OBREROS</v>
      </c>
    </row>
    <row r="577" spans="1:19" x14ac:dyDescent="0.2">
      <c r="A577" s="1">
        <v>2</v>
      </c>
      <c r="B577" s="6" t="str">
        <f>VLOOKUP(A577,'ACTIVOS CODIGO'!A:B,2,0)</f>
        <v>PASIVO</v>
      </c>
      <c r="C577" s="2">
        <v>1</v>
      </c>
      <c r="D577" s="7" t="str">
        <f>VLOOKUP(C577,'ACTIVOS CODIGO'!H:I,2,0)</f>
        <v>PASIVO DEL TESORO = PASIVO CORRIENTE</v>
      </c>
      <c r="E577" s="3"/>
      <c r="F577" s="8"/>
      <c r="G577" s="10">
        <v>133</v>
      </c>
      <c r="H577" s="10" t="str">
        <f>VLOOKUP(G577,'PUB 21'!$A$1:$B$29,2,0)</f>
        <v>DEPOSITOS DE TERCEROS</v>
      </c>
      <c r="I577"/>
      <c r="J577" s="4"/>
      <c r="K577">
        <v>9</v>
      </c>
      <c r="L577" s="4" t="s">
        <v>513</v>
      </c>
      <c r="M577" s="27" t="str">
        <f t="shared" si="93"/>
        <v>2-1-0-13-30-09</v>
      </c>
      <c r="N577" s="27" t="str">
        <f t="shared" si="94"/>
        <v>CAPREPROSERPUAMBL</v>
      </c>
      <c r="O577" s="4">
        <f t="shared" si="105"/>
        <v>3</v>
      </c>
      <c r="P577" s="4" t="s">
        <v>571</v>
      </c>
      <c r="Q577" s="4" t="str">
        <f t="shared" si="52"/>
        <v>2-1-0-13-30-09-003</v>
      </c>
      <c r="R577" s="4" t="str">
        <f t="shared" si="104"/>
        <v>CAPREPROSERPUAMBL PRESTAMO OBREROS</v>
      </c>
    </row>
    <row r="578" spans="1:19" x14ac:dyDescent="0.2">
      <c r="A578" s="1">
        <v>2</v>
      </c>
      <c r="B578" s="6" t="str">
        <f>VLOOKUP(A578,'ACTIVOS CODIGO'!A:B,2,0)</f>
        <v>PASIVO</v>
      </c>
      <c r="C578" s="2">
        <v>1</v>
      </c>
      <c r="D578" s="7" t="str">
        <f>VLOOKUP(C578,'ACTIVOS CODIGO'!H:I,2,0)</f>
        <v>PASIVO DEL TESORO = PASIVO CORRIENTE</v>
      </c>
      <c r="E578" s="3"/>
      <c r="F578" s="8"/>
      <c r="G578" s="10">
        <v>133</v>
      </c>
      <c r="H578" s="10" t="str">
        <f>VLOOKUP(G578,'PUB 21'!$A$1:$B$29,2,0)</f>
        <v>DEPOSITOS DE TERCEROS</v>
      </c>
      <c r="I578"/>
      <c r="J578" s="4"/>
      <c r="K578">
        <v>9</v>
      </c>
      <c r="L578" s="4" t="s">
        <v>513</v>
      </c>
      <c r="M578" s="27" t="str">
        <f t="shared" si="93"/>
        <v>2-1-0-13-30-09</v>
      </c>
      <c r="N578" s="27" t="str">
        <f t="shared" si="94"/>
        <v>CAPREPROSERPUAMBL</v>
      </c>
      <c r="O578" s="4">
        <f t="shared" si="105"/>
        <v>4</v>
      </c>
      <c r="P578" s="4" t="s">
        <v>572</v>
      </c>
      <c r="Q578" s="4" t="str">
        <f t="shared" si="52"/>
        <v>2-1-0-13-30-09-004</v>
      </c>
      <c r="R578" s="4" t="str">
        <f t="shared" si="104"/>
        <v>CAPREPROSERPUAMBL APORTE TRABAJADOR JUBILADOS</v>
      </c>
    </row>
    <row r="579" spans="1:19" x14ac:dyDescent="0.2">
      <c r="A579" s="1">
        <v>2</v>
      </c>
      <c r="B579" s="6" t="str">
        <f>VLOOKUP(A579,'ACTIVOS CODIGO'!A:B,2,0)</f>
        <v>PASIVO</v>
      </c>
      <c r="C579" s="2">
        <v>1</v>
      </c>
      <c r="D579" s="7" t="str">
        <f>VLOOKUP(C579,'ACTIVOS CODIGO'!H:I,2,0)</f>
        <v>PASIVO DEL TESORO = PASIVO CORRIENTE</v>
      </c>
      <c r="E579" s="3"/>
      <c r="F579" s="8"/>
      <c r="G579" s="10">
        <v>133</v>
      </c>
      <c r="H579" s="10" t="str">
        <f>VLOOKUP(G579,'PUB 21'!$A$1:$B$29,2,0)</f>
        <v>DEPOSITOS DE TERCEROS</v>
      </c>
      <c r="I579"/>
      <c r="J579" s="4"/>
      <c r="K579">
        <v>9</v>
      </c>
      <c r="L579" s="4" t="s">
        <v>513</v>
      </c>
      <c r="M579" s="27" t="str">
        <f t="shared" si="93"/>
        <v>2-1-0-13-30-09</v>
      </c>
      <c r="N579" s="27" t="str">
        <f t="shared" si="94"/>
        <v>CAPREPROSERPUAMBL</v>
      </c>
      <c r="O579" s="4">
        <f t="shared" si="105"/>
        <v>5</v>
      </c>
      <c r="P579" s="4" t="s">
        <v>573</v>
      </c>
      <c r="Q579" s="4" t="str">
        <f t="shared" si="52"/>
        <v>2-1-0-13-30-09-005</v>
      </c>
      <c r="R579" s="4" t="str">
        <f t="shared" si="104"/>
        <v>CAPREPROSERPUAMBL PRESTAMO JUBILADOS</v>
      </c>
    </row>
    <row r="580" spans="1:19" x14ac:dyDescent="0.2">
      <c r="A580" s="1">
        <v>2</v>
      </c>
      <c r="B580" s="6" t="str">
        <f>VLOOKUP(A580,'ACTIVOS CODIGO'!A:B,2,0)</f>
        <v>PASIVO</v>
      </c>
      <c r="C580" s="2">
        <v>1</v>
      </c>
      <c r="D580" s="7" t="str">
        <f>VLOOKUP(C580,'ACTIVOS CODIGO'!H:I,2,0)</f>
        <v>PASIVO DEL TESORO = PASIVO CORRIENTE</v>
      </c>
      <c r="E580" s="3"/>
      <c r="F580" s="8"/>
      <c r="G580" s="10">
        <v>133</v>
      </c>
      <c r="H580" s="10" t="str">
        <f>VLOOKUP(G580,'PUB 21'!$A$1:$B$29,2,0)</f>
        <v>DEPOSITOS DE TERCEROS</v>
      </c>
      <c r="I580"/>
      <c r="J580" s="4"/>
      <c r="K580">
        <v>9</v>
      </c>
      <c r="L580" s="4" t="s">
        <v>513</v>
      </c>
      <c r="M580" s="27" t="str">
        <f t="shared" si="93"/>
        <v>2-1-0-13-30-09</v>
      </c>
      <c r="N580" s="27" t="str">
        <f t="shared" si="94"/>
        <v>CAPREPROSERPUAMBL</v>
      </c>
      <c r="O580" s="4">
        <f t="shared" si="105"/>
        <v>6</v>
      </c>
      <c r="P580" s="4" t="s">
        <v>574</v>
      </c>
      <c r="Q580" s="4" t="str">
        <f t="shared" si="52"/>
        <v>2-1-0-13-30-09-006</v>
      </c>
      <c r="R580" s="4" t="str">
        <f t="shared" si="104"/>
        <v>CAPREPROSERPUAMBL PRESTAMO EMPLEADOS</v>
      </c>
    </row>
    <row r="581" spans="1:19" x14ac:dyDescent="0.2">
      <c r="A581" s="1">
        <v>2</v>
      </c>
      <c r="B581" s="6" t="str">
        <f>VLOOKUP(A581,'ACTIVOS CODIGO'!A:B,2,0)</f>
        <v>PASIVO</v>
      </c>
      <c r="C581" s="2">
        <v>1</v>
      </c>
      <c r="D581" s="7" t="str">
        <f>VLOOKUP(C581,'ACTIVOS CODIGO'!H:I,2,0)</f>
        <v>PASIVO DEL TESORO = PASIVO CORRIENTE</v>
      </c>
      <c r="E581" s="3"/>
      <c r="F581" s="8"/>
      <c r="G581" s="10">
        <v>133</v>
      </c>
      <c r="H581" s="10" t="str">
        <f>VLOOKUP(G581,'PUB 21'!$A$1:$B$29,2,0)</f>
        <v>DEPOSITOS DE TERCEROS</v>
      </c>
      <c r="I581"/>
      <c r="J581" s="4"/>
      <c r="K581">
        <v>9</v>
      </c>
      <c r="L581" s="4" t="s">
        <v>513</v>
      </c>
      <c r="M581" s="27" t="str">
        <f t="shared" ref="M581:M582" si="113">CONCATENATE(TEXT(A581,"0"),"-",TEXT(C581,"0"),"-",TEXT(E581,"0"),"-",TEXT(LEFT(G581,2),"00"),"-",TEXT(RIGHT(G581,1),"0"),TEXT(I581,"0"),"-",TEXT(K581,"00"))</f>
        <v>2-1-0-13-30-09</v>
      </c>
      <c r="N581" s="27" t="str">
        <f t="shared" ref="N581:N582" si="114">IF(L581="",IF(J581="",IF(H581="",IF(F581="",IF(D581="",B581,D581),F581),H581),J581),L581)</f>
        <v>CAPREPROSERPUAMBL</v>
      </c>
      <c r="O581" s="4">
        <f t="shared" si="105"/>
        <v>7</v>
      </c>
      <c r="P581" s="4" t="s">
        <v>785</v>
      </c>
      <c r="Q581" s="4" t="str">
        <f t="shared" ref="Q581:Q585" si="115">CONCATENATE(TEXT(A581,"0"),"-",TEXT(C581,"0"),"-",TEXT(E581,"0"),"-",TEXT(LEFT(G581,2),"00"),"-",TEXT(RIGHT(G581,1),"0"),TEXT(I581,"0"),"-",TEXT(K581,"00"),"-",TEXT(O581,"000"))</f>
        <v>2-1-0-13-30-09-007</v>
      </c>
      <c r="R581" s="4" t="str">
        <f t="shared" si="104"/>
        <v>CAPREPROSERPUAMBL APORTE TRABAJADOR CONTRATADOS</v>
      </c>
    </row>
    <row r="582" spans="1:19" x14ac:dyDescent="0.2">
      <c r="A582" s="1">
        <v>2</v>
      </c>
      <c r="B582" s="6" t="str">
        <f>VLOOKUP(A582,'ACTIVOS CODIGO'!A:B,2,0)</f>
        <v>PASIVO</v>
      </c>
      <c r="C582" s="2">
        <v>1</v>
      </c>
      <c r="D582" s="7" t="str">
        <f>VLOOKUP(C582,'ACTIVOS CODIGO'!H:I,2,0)</f>
        <v>PASIVO DEL TESORO = PASIVO CORRIENTE</v>
      </c>
      <c r="E582" s="3"/>
      <c r="F582" s="8"/>
      <c r="G582" s="10">
        <v>133</v>
      </c>
      <c r="H582" s="10" t="str">
        <f>VLOOKUP(G582,'PUB 21'!$A$1:$B$29,2,0)</f>
        <v>DEPOSITOS DE TERCEROS</v>
      </c>
      <c r="I582"/>
      <c r="J582" s="4"/>
      <c r="K582">
        <v>9</v>
      </c>
      <c r="L582" s="4" t="s">
        <v>513</v>
      </c>
      <c r="M582" s="27" t="str">
        <f t="shared" si="113"/>
        <v>2-1-0-13-30-09</v>
      </c>
      <c r="N582" s="27" t="str">
        <f t="shared" si="114"/>
        <v>CAPREPROSERPUAMBL</v>
      </c>
      <c r="O582" s="4">
        <f t="shared" si="105"/>
        <v>8</v>
      </c>
      <c r="P582" s="4" t="s">
        <v>786</v>
      </c>
      <c r="Q582" s="4" t="str">
        <f t="shared" si="115"/>
        <v>2-1-0-13-30-09-008</v>
      </c>
      <c r="R582" s="4" t="str">
        <f t="shared" si="104"/>
        <v>CAPREPROSERPUAMBL PRESTAMO CONTRATADOS</v>
      </c>
    </row>
    <row r="583" spans="1:19" x14ac:dyDescent="0.2">
      <c r="A583" s="1">
        <v>2</v>
      </c>
      <c r="B583" s="6" t="str">
        <f>VLOOKUP(A583,'ACTIVOS CODIGO'!A:B,2,0)</f>
        <v>PASIVO</v>
      </c>
      <c r="C583" s="2">
        <v>1</v>
      </c>
      <c r="D583" s="7" t="str">
        <f>VLOOKUP(C583,'ACTIVOS CODIGO'!H:I,2,0)</f>
        <v>PASIVO DEL TESORO = PASIVO CORRIENTE</v>
      </c>
      <c r="E583" s="3"/>
      <c r="F583" s="8"/>
      <c r="G583" s="10">
        <v>133</v>
      </c>
      <c r="H583" s="10" t="str">
        <f>VLOOKUP(G583,'PUB 21'!$A$1:$B$29,2,0)</f>
        <v>DEPOSITOS DE TERCEROS</v>
      </c>
      <c r="I583"/>
      <c r="J583" s="4"/>
      <c r="K583">
        <v>9</v>
      </c>
      <c r="L583" s="4" t="s">
        <v>513</v>
      </c>
      <c r="M583" s="27" t="str">
        <f t="shared" ref="M583:M584" si="116">CONCATENATE(TEXT(A583,"0"),"-",TEXT(C583,"0"),"-",TEXT(E583,"0"),"-",TEXT(LEFT(G583,2),"00"),"-",TEXT(RIGHT(G583,1),"0"),TEXT(I583,"0"),"-",TEXT(K583,"00"))</f>
        <v>2-1-0-13-30-09</v>
      </c>
      <c r="N583" s="27" t="str">
        <f t="shared" ref="N583:N584" si="117">IF(L583="",IF(J583="",IF(H583="",IF(F583="",IF(D583="",B583,D583),F583),H583),J583),L583)</f>
        <v>CAPREPROSERPUAMBL</v>
      </c>
      <c r="O583" s="4">
        <f t="shared" si="105"/>
        <v>9</v>
      </c>
      <c r="P583" s="4" t="s">
        <v>862</v>
      </c>
      <c r="Q583" s="4" t="str">
        <f t="shared" ref="Q583:Q584" si="118">CONCATENATE(TEXT(A583,"0"),"-",TEXT(C583,"0"),"-",TEXT(E583,"0"),"-",TEXT(LEFT(G583,2),"00"),"-",TEXT(RIGHT(G583,1),"0"),TEXT(I583,"0"),"-",TEXT(K583,"00"),"-",TEXT(O583,"000"))</f>
        <v>2-1-0-13-30-09-009</v>
      </c>
      <c r="R583" s="4" t="str">
        <f t="shared" ref="R583:R584" si="119">IF(P583="",IF(L583="",IF(J583="",IF(H583="",IF(F583="",IF(D583="",B583,D583),F583),H583),J583),L583),P583)</f>
        <v>CAPREPROSERPUAMBL APORTE TRABAJADOR DIRECCION Y CONFIANZA</v>
      </c>
    </row>
    <row r="584" spans="1:19" x14ac:dyDescent="0.2">
      <c r="A584" s="1">
        <v>2</v>
      </c>
      <c r="B584" s="6" t="str">
        <f>VLOOKUP(A584,'ACTIVOS CODIGO'!A:B,2,0)</f>
        <v>PASIVO</v>
      </c>
      <c r="C584" s="2">
        <v>1</v>
      </c>
      <c r="D584" s="7" t="str">
        <f>VLOOKUP(C584,'ACTIVOS CODIGO'!H:I,2,0)</f>
        <v>PASIVO DEL TESORO = PASIVO CORRIENTE</v>
      </c>
      <c r="E584" s="3"/>
      <c r="F584" s="8"/>
      <c r="G584" s="10">
        <v>133</v>
      </c>
      <c r="H584" s="10" t="str">
        <f>VLOOKUP(G584,'PUB 21'!$A$1:$B$29,2,0)</f>
        <v>DEPOSITOS DE TERCEROS</v>
      </c>
      <c r="I584"/>
      <c r="J584" s="4"/>
      <c r="K584">
        <v>9</v>
      </c>
      <c r="L584" s="4" t="s">
        <v>513</v>
      </c>
      <c r="M584" s="27" t="str">
        <f t="shared" si="116"/>
        <v>2-1-0-13-30-09</v>
      </c>
      <c r="N584" s="27" t="str">
        <f t="shared" si="117"/>
        <v>CAPREPROSERPUAMBL</v>
      </c>
      <c r="O584" s="4">
        <f t="shared" si="105"/>
        <v>10</v>
      </c>
      <c r="P584" s="4" t="s">
        <v>863</v>
      </c>
      <c r="Q584" s="4" t="str">
        <f t="shared" si="118"/>
        <v>2-1-0-13-30-09-010</v>
      </c>
      <c r="R584" s="4" t="str">
        <f t="shared" si="119"/>
        <v>CAPREPROSERPUAMBL PRESTAMO DIRECCION Y CONFIANZA</v>
      </c>
    </row>
    <row r="585" spans="1:19" x14ac:dyDescent="0.2">
      <c r="A585" s="1">
        <v>2</v>
      </c>
      <c r="B585" s="6" t="str">
        <f>VLOOKUP(A585,'ACTIVOS CODIGO'!A:B,2,0)</f>
        <v>PASIVO</v>
      </c>
      <c r="C585" s="2">
        <v>1</v>
      </c>
      <c r="D585" s="7" t="str">
        <f>VLOOKUP(C585,'ACTIVOS CODIGO'!H:I,2,0)</f>
        <v>PASIVO DEL TESORO = PASIVO CORRIENTE</v>
      </c>
      <c r="E585" s="3"/>
      <c r="F585" s="8"/>
      <c r="G585" s="10">
        <v>133</v>
      </c>
      <c r="H585" s="10" t="str">
        <f>VLOOKUP(G585,'PUB 21'!$A$1:$B$29,2,0)</f>
        <v>DEPOSITOS DE TERCEROS</v>
      </c>
      <c r="I585"/>
      <c r="J585" s="4"/>
      <c r="K585">
        <v>10</v>
      </c>
      <c r="L585" s="4" t="s">
        <v>542</v>
      </c>
      <c r="M585" s="27" t="str">
        <f t="shared" si="93"/>
        <v>2-1-0-13-30-10</v>
      </c>
      <c r="N585" s="27" t="str">
        <f t="shared" si="94"/>
        <v>CAPSTECAAMLDMC</v>
      </c>
      <c r="O585" s="4">
        <f t="shared" si="105"/>
        <v>0</v>
      </c>
      <c r="Q585" s="4" t="str">
        <f t="shared" si="115"/>
        <v>2-1-0-13-30-10-000</v>
      </c>
      <c r="R585" s="4" t="str">
        <f t="shared" si="104"/>
        <v>CAPSTECAAMLDMC</v>
      </c>
      <c r="S585" s="4" t="str">
        <f>TEXT(I585,"0-0")</f>
        <v>0-0</v>
      </c>
    </row>
    <row r="586" spans="1:19" x14ac:dyDescent="0.2">
      <c r="A586" s="1">
        <v>2</v>
      </c>
      <c r="B586" s="6" t="str">
        <f>VLOOKUP(A586,'ACTIVOS CODIGO'!A:B,2,0)</f>
        <v>PASIVO</v>
      </c>
      <c r="C586" s="2">
        <v>1</v>
      </c>
      <c r="D586" s="7" t="str">
        <f>VLOOKUP(C586,'ACTIVOS CODIGO'!H:I,2,0)</f>
        <v>PASIVO DEL TESORO = PASIVO CORRIENTE</v>
      </c>
      <c r="E586" s="3"/>
      <c r="F586" s="8"/>
      <c r="G586" s="10">
        <v>133</v>
      </c>
      <c r="H586" s="10" t="str">
        <f>VLOOKUP(G586,'PUB 21'!$A$1:$B$29,2,0)</f>
        <v>DEPOSITOS DE TERCEROS</v>
      </c>
      <c r="I586"/>
      <c r="J586" s="4"/>
      <c r="K586">
        <v>10</v>
      </c>
      <c r="L586" s="4" t="s">
        <v>542</v>
      </c>
      <c r="M586" s="27" t="str">
        <f t="shared" si="93"/>
        <v>2-1-0-13-30-10</v>
      </c>
      <c r="N586" s="27" t="str">
        <f t="shared" si="94"/>
        <v>CAPSTECAAMLDMC</v>
      </c>
      <c r="O586" s="4">
        <f t="shared" si="105"/>
        <v>1</v>
      </c>
      <c r="P586" s="4" t="s">
        <v>575</v>
      </c>
      <c r="Q586" s="4" t="str">
        <f t="shared" si="52"/>
        <v>2-1-0-13-30-10-001</v>
      </c>
      <c r="R586" s="4" t="str">
        <f t="shared" si="104"/>
        <v>CAPSTECAAMLDMC APORTE TRABAJADOR EMPLEADOS</v>
      </c>
    </row>
    <row r="587" spans="1:19" x14ac:dyDescent="0.2">
      <c r="A587" s="1">
        <v>2</v>
      </c>
      <c r="B587" s="6" t="str">
        <f>VLOOKUP(A587,'ACTIVOS CODIGO'!A:B,2,0)</f>
        <v>PASIVO</v>
      </c>
      <c r="C587" s="2">
        <v>1</v>
      </c>
      <c r="D587" s="7" t="str">
        <f>VLOOKUP(C587,'ACTIVOS CODIGO'!H:I,2,0)</f>
        <v>PASIVO DEL TESORO = PASIVO CORRIENTE</v>
      </c>
      <c r="E587" s="3"/>
      <c r="F587" s="8"/>
      <c r="G587" s="10">
        <v>133</v>
      </c>
      <c r="H587" s="10" t="str">
        <f>VLOOKUP(G587,'PUB 21'!$A$1:$B$29,2,0)</f>
        <v>DEPOSITOS DE TERCEROS</v>
      </c>
      <c r="I587"/>
      <c r="J587" s="4"/>
      <c r="K587">
        <v>10</v>
      </c>
      <c r="L587" s="4" t="s">
        <v>542</v>
      </c>
      <c r="M587" s="27" t="str">
        <f t="shared" si="93"/>
        <v>2-1-0-13-30-10</v>
      </c>
      <c r="N587" s="27" t="str">
        <f t="shared" si="94"/>
        <v>CAPSTECAAMLDMC</v>
      </c>
      <c r="O587" s="4">
        <f t="shared" si="105"/>
        <v>2</v>
      </c>
      <c r="P587" s="4" t="s">
        <v>576</v>
      </c>
      <c r="Q587" s="4" t="str">
        <f t="shared" si="52"/>
        <v>2-1-0-13-30-10-002</v>
      </c>
      <c r="R587" s="4" t="str">
        <f t="shared" si="104"/>
        <v>CAPSTECAAMLDMC PRESTAMO EMPLEADOS</v>
      </c>
    </row>
    <row r="588" spans="1:19" x14ac:dyDescent="0.2">
      <c r="A588" s="1">
        <v>2</v>
      </c>
      <c r="B588" s="6" t="str">
        <f>VLOOKUP(A588,'ACTIVOS CODIGO'!A:B,2,0)</f>
        <v>PASIVO</v>
      </c>
      <c r="C588" s="2">
        <v>1</v>
      </c>
      <c r="D588" s="7" t="str">
        <f>VLOOKUP(C588,'ACTIVOS CODIGO'!H:I,2,0)</f>
        <v>PASIVO DEL TESORO = PASIVO CORRIENTE</v>
      </c>
      <c r="E588" s="3"/>
      <c r="F588" s="8"/>
      <c r="G588" s="10">
        <v>133</v>
      </c>
      <c r="H588" s="10" t="str">
        <f>VLOOKUP(G588,'PUB 21'!$A$1:$B$29,2,0)</f>
        <v>DEPOSITOS DE TERCEROS</v>
      </c>
      <c r="I588"/>
      <c r="J588" s="4"/>
      <c r="K588">
        <v>10</v>
      </c>
      <c r="L588" s="4" t="s">
        <v>542</v>
      </c>
      <c r="M588" s="27" t="str">
        <f t="shared" si="93"/>
        <v>2-1-0-13-30-10</v>
      </c>
      <c r="N588" s="27" t="str">
        <f t="shared" si="94"/>
        <v>CAPSTECAAMLDMC</v>
      </c>
      <c r="O588" s="4">
        <f t="shared" si="105"/>
        <v>3</v>
      </c>
      <c r="P588" s="4" t="s">
        <v>577</v>
      </c>
      <c r="Q588" s="4" t="str">
        <f t="shared" si="52"/>
        <v>2-1-0-13-30-10-003</v>
      </c>
      <c r="R588" s="4" t="str">
        <f t="shared" si="104"/>
        <v>CAPSTECAAMLDMC APORTE TRABAJADOR OBREROS</v>
      </c>
    </row>
    <row r="589" spans="1:19" x14ac:dyDescent="0.2">
      <c r="A589" s="1">
        <v>2</v>
      </c>
      <c r="B589" s="6" t="str">
        <f>VLOOKUP(A589,'ACTIVOS CODIGO'!A:B,2,0)</f>
        <v>PASIVO</v>
      </c>
      <c r="C589" s="2">
        <v>1</v>
      </c>
      <c r="D589" s="7" t="str">
        <f>VLOOKUP(C589,'ACTIVOS CODIGO'!H:I,2,0)</f>
        <v>PASIVO DEL TESORO = PASIVO CORRIENTE</v>
      </c>
      <c r="E589" s="3"/>
      <c r="F589" s="8"/>
      <c r="G589" s="10">
        <v>133</v>
      </c>
      <c r="H589" s="10" t="str">
        <f>VLOOKUP(G589,'PUB 21'!$A$1:$B$29,2,0)</f>
        <v>DEPOSITOS DE TERCEROS</v>
      </c>
      <c r="I589"/>
      <c r="J589" s="4"/>
      <c r="K589">
        <v>10</v>
      </c>
      <c r="L589" s="4" t="s">
        <v>542</v>
      </c>
      <c r="M589" s="27" t="str">
        <f t="shared" si="93"/>
        <v>2-1-0-13-30-10</v>
      </c>
      <c r="N589" s="27" t="str">
        <f t="shared" si="94"/>
        <v>CAPSTECAAMLDMC</v>
      </c>
      <c r="O589" s="4">
        <f t="shared" si="105"/>
        <v>4</v>
      </c>
      <c r="P589" s="4" t="s">
        <v>578</v>
      </c>
      <c r="Q589" s="4" t="str">
        <f t="shared" si="52"/>
        <v>2-1-0-13-30-10-004</v>
      </c>
      <c r="R589" s="4" t="str">
        <f t="shared" si="104"/>
        <v>CAPSTECAAMLDMC PRESTAMO OBREROS</v>
      </c>
    </row>
    <row r="590" spans="1:19" x14ac:dyDescent="0.2">
      <c r="A590" s="1">
        <v>2</v>
      </c>
      <c r="B590" s="6" t="str">
        <f>VLOOKUP(A590,'ACTIVOS CODIGO'!A:B,2,0)</f>
        <v>PASIVO</v>
      </c>
      <c r="C590" s="2">
        <v>1</v>
      </c>
      <c r="D590" s="7" t="str">
        <f>VLOOKUP(C590,'ACTIVOS CODIGO'!H:I,2,0)</f>
        <v>PASIVO DEL TESORO = PASIVO CORRIENTE</v>
      </c>
      <c r="E590" s="3"/>
      <c r="F590" s="8"/>
      <c r="G590" s="10">
        <v>133</v>
      </c>
      <c r="H590" s="10" t="str">
        <f>VLOOKUP(G590,'PUB 21'!$A$1:$B$29,2,0)</f>
        <v>DEPOSITOS DE TERCEROS</v>
      </c>
      <c r="I590"/>
      <c r="J590" s="4"/>
      <c r="K590">
        <v>10</v>
      </c>
      <c r="L590" s="4" t="s">
        <v>542</v>
      </c>
      <c r="M590" s="27" t="str">
        <f t="shared" si="93"/>
        <v>2-1-0-13-30-10</v>
      </c>
      <c r="N590" s="27" t="str">
        <f t="shared" si="94"/>
        <v>CAPSTECAAMLDMC</v>
      </c>
      <c r="O590" s="4">
        <f t="shared" si="105"/>
        <v>5</v>
      </c>
      <c r="P590" s="4" t="s">
        <v>579</v>
      </c>
      <c r="Q590" s="4" t="str">
        <f t="shared" si="52"/>
        <v>2-1-0-13-30-10-005</v>
      </c>
      <c r="R590" s="4" t="str">
        <f t="shared" si="104"/>
        <v>CAPSTECAAMLDMC APORTE TRABAJADOR JUBILADOS</v>
      </c>
    </row>
    <row r="591" spans="1:19" x14ac:dyDescent="0.2">
      <c r="A591" s="1">
        <v>2</v>
      </c>
      <c r="B591" s="6" t="str">
        <f>VLOOKUP(A591,'ACTIVOS CODIGO'!A:B,2,0)</f>
        <v>PASIVO</v>
      </c>
      <c r="C591" s="2">
        <v>1</v>
      </c>
      <c r="D591" s="7" t="str">
        <f>VLOOKUP(C591,'ACTIVOS CODIGO'!H:I,2,0)</f>
        <v>PASIVO DEL TESORO = PASIVO CORRIENTE</v>
      </c>
      <c r="E591" s="3"/>
      <c r="F591" s="8"/>
      <c r="G591" s="10">
        <v>133</v>
      </c>
      <c r="H591" s="10" t="str">
        <f>VLOOKUP(G591,'PUB 21'!$A$1:$B$29,2,0)</f>
        <v>DEPOSITOS DE TERCEROS</v>
      </c>
      <c r="I591"/>
      <c r="J591" s="4"/>
      <c r="K591">
        <v>10</v>
      </c>
      <c r="L591" s="4" t="s">
        <v>542</v>
      </c>
      <c r="M591" s="27" t="str">
        <f t="shared" si="93"/>
        <v>2-1-0-13-30-10</v>
      </c>
      <c r="N591" s="27" t="str">
        <f t="shared" si="94"/>
        <v>CAPSTECAAMLDMC</v>
      </c>
      <c r="O591" s="4">
        <f t="shared" si="105"/>
        <v>6</v>
      </c>
      <c r="P591" s="4" t="s">
        <v>580</v>
      </c>
      <c r="Q591" s="4" t="str">
        <f t="shared" si="52"/>
        <v>2-1-0-13-30-10-006</v>
      </c>
      <c r="R591" s="4" t="str">
        <f t="shared" si="104"/>
        <v>CAPSTECAAMLDMC PRESTAMO JUBILADOS</v>
      </c>
    </row>
    <row r="592" spans="1:19" x14ac:dyDescent="0.2">
      <c r="A592" s="1">
        <v>2</v>
      </c>
      <c r="B592" s="6" t="str">
        <f>VLOOKUP(A592,'ACTIVOS CODIGO'!A:B,2,0)</f>
        <v>PASIVO</v>
      </c>
      <c r="C592" s="2">
        <v>1</v>
      </c>
      <c r="D592" s="7" t="str">
        <f>VLOOKUP(C592,'ACTIVOS CODIGO'!H:I,2,0)</f>
        <v>PASIVO DEL TESORO = PASIVO CORRIENTE</v>
      </c>
      <c r="E592" s="3"/>
      <c r="F592" s="8"/>
      <c r="G592" s="10">
        <v>133</v>
      </c>
      <c r="H592" s="10" t="str">
        <f>VLOOKUP(G592,'PUB 21'!$A$1:$B$29,2,0)</f>
        <v>DEPOSITOS DE TERCEROS</v>
      </c>
      <c r="I592"/>
      <c r="J592" s="4"/>
      <c r="K592">
        <v>10</v>
      </c>
      <c r="L592" s="4" t="s">
        <v>542</v>
      </c>
      <c r="M592" s="27" t="str">
        <f t="shared" ref="M592:M593" si="120">CONCATENATE(TEXT(A592,"0"),"-",TEXT(C592,"0"),"-",TEXT(E592,"0"),"-",TEXT(LEFT(G592,2),"00"),"-",TEXT(RIGHT(G592,1),"0"),TEXT(I592,"0"),"-",TEXT(K592,"00"))</f>
        <v>2-1-0-13-30-10</v>
      </c>
      <c r="N592" s="27" t="str">
        <f t="shared" ref="N592:N593" si="121">IF(L592="",IF(J592="",IF(H592="",IF(F592="",IF(D592="",B592,D592),F592),H592),J592),L592)</f>
        <v>CAPSTECAAMLDMC</v>
      </c>
      <c r="O592" s="4">
        <f t="shared" si="105"/>
        <v>7</v>
      </c>
      <c r="P592" s="4" t="s">
        <v>787</v>
      </c>
      <c r="Q592" s="4" t="str">
        <f t="shared" ref="Q592:Q657" si="122">CONCATENATE(TEXT(A592,"0"),"-",TEXT(C592,"0"),"-",TEXT(E592,"0"),"-",TEXT(LEFT(G592,2),"00"),"-",TEXT(RIGHT(G592,1),"0"),TEXT(I592,"0"),"-",TEXT(K592,"00"),"-",TEXT(O592,"000"))</f>
        <v>2-1-0-13-30-10-007</v>
      </c>
      <c r="R592" s="4" t="str">
        <f t="shared" si="104"/>
        <v>CAPSTECAAMLDMC APORTE TRABAJADOR CONTRATADOS</v>
      </c>
    </row>
    <row r="593" spans="1:18" x14ac:dyDescent="0.2">
      <c r="A593" s="1">
        <v>2</v>
      </c>
      <c r="B593" s="6" t="str">
        <f>VLOOKUP(A593,'ACTIVOS CODIGO'!A:B,2,0)</f>
        <v>PASIVO</v>
      </c>
      <c r="C593" s="2">
        <v>1</v>
      </c>
      <c r="D593" s="7" t="str">
        <f>VLOOKUP(C593,'ACTIVOS CODIGO'!H:I,2,0)</f>
        <v>PASIVO DEL TESORO = PASIVO CORRIENTE</v>
      </c>
      <c r="E593" s="3"/>
      <c r="F593" s="8"/>
      <c r="G593" s="10">
        <v>133</v>
      </c>
      <c r="H593" s="10" t="str">
        <f>VLOOKUP(G593,'PUB 21'!$A$1:$B$29,2,0)</f>
        <v>DEPOSITOS DE TERCEROS</v>
      </c>
      <c r="I593"/>
      <c r="J593" s="4"/>
      <c r="K593">
        <v>10</v>
      </c>
      <c r="L593" s="4" t="s">
        <v>542</v>
      </c>
      <c r="M593" s="27" t="str">
        <f t="shared" si="120"/>
        <v>2-1-0-13-30-10</v>
      </c>
      <c r="N593" s="27" t="str">
        <f t="shared" si="121"/>
        <v>CAPSTECAAMLDMC</v>
      </c>
      <c r="O593" s="4">
        <f t="shared" si="105"/>
        <v>8</v>
      </c>
      <c r="P593" s="4" t="s">
        <v>788</v>
      </c>
      <c r="Q593" s="4" t="str">
        <f t="shared" si="122"/>
        <v>2-1-0-13-30-10-008</v>
      </c>
      <c r="R593" s="4" t="str">
        <f t="shared" si="104"/>
        <v>CAPSTECAAMLDMC PRESTAMO CONTRATADOS</v>
      </c>
    </row>
    <row r="594" spans="1:18" x14ac:dyDescent="0.2">
      <c r="A594" s="1">
        <v>2</v>
      </c>
      <c r="B594" s="6" t="s">
        <v>495</v>
      </c>
      <c r="C594" s="2">
        <v>1</v>
      </c>
      <c r="D594" s="7" t="s">
        <v>496</v>
      </c>
      <c r="E594" s="3"/>
      <c r="F594" s="8"/>
      <c r="G594" s="10">
        <v>133</v>
      </c>
      <c r="H594" s="10" t="s">
        <v>88</v>
      </c>
      <c r="I594"/>
      <c r="J594" s="4"/>
      <c r="K594">
        <v>10</v>
      </c>
      <c r="L594" s="4" t="s">
        <v>542</v>
      </c>
      <c r="M594" s="27" t="s">
        <v>864</v>
      </c>
      <c r="N594" s="27" t="s">
        <v>542</v>
      </c>
      <c r="O594" s="4">
        <f t="shared" si="105"/>
        <v>9</v>
      </c>
      <c r="P594" s="4" t="s">
        <v>865</v>
      </c>
      <c r="Q594" s="4" t="str">
        <f t="shared" si="122"/>
        <v>2-1-0-13-30-10-009</v>
      </c>
      <c r="R594" s="4" t="s">
        <v>787</v>
      </c>
    </row>
    <row r="595" spans="1:18" x14ac:dyDescent="0.2">
      <c r="A595" s="1">
        <v>2</v>
      </c>
      <c r="B595" s="6" t="s">
        <v>495</v>
      </c>
      <c r="C595" s="2">
        <v>1</v>
      </c>
      <c r="D595" s="7" t="s">
        <v>496</v>
      </c>
      <c r="E595" s="3"/>
      <c r="F595" s="8"/>
      <c r="G595" s="10">
        <v>133</v>
      </c>
      <c r="H595" s="10" t="s">
        <v>88</v>
      </c>
      <c r="I595"/>
      <c r="J595" s="4"/>
      <c r="K595">
        <v>10</v>
      </c>
      <c r="L595" s="4" t="s">
        <v>542</v>
      </c>
      <c r="M595" s="27" t="s">
        <v>864</v>
      </c>
      <c r="N595" s="27" t="s">
        <v>542</v>
      </c>
      <c r="O595" s="4">
        <f t="shared" si="105"/>
        <v>10</v>
      </c>
      <c r="P595" s="4" t="s">
        <v>866</v>
      </c>
      <c r="Q595" s="4" t="str">
        <f t="shared" si="122"/>
        <v>2-1-0-13-30-10-010</v>
      </c>
      <c r="R595" s="4" t="s">
        <v>788</v>
      </c>
    </row>
    <row r="596" spans="1:18" x14ac:dyDescent="0.2">
      <c r="A596" s="1">
        <v>2</v>
      </c>
      <c r="B596" s="6" t="str">
        <f>VLOOKUP(A596,'ACTIVOS CODIGO'!A:B,2,0)</f>
        <v>PASIVO</v>
      </c>
      <c r="C596" s="2">
        <v>1</v>
      </c>
      <c r="D596" s="7" t="str">
        <f>VLOOKUP(C596,'ACTIVOS CODIGO'!H:I,2,0)</f>
        <v>PASIVO DEL TESORO = PASIVO CORRIENTE</v>
      </c>
      <c r="E596" s="3"/>
      <c r="F596" s="8"/>
      <c r="G596" s="10">
        <v>133</v>
      </c>
      <c r="H596" s="10" t="str">
        <f>VLOOKUP(G596,'PUB 21'!$A$1:$B$29,2,0)</f>
        <v>DEPOSITOS DE TERCEROS</v>
      </c>
      <c r="I596"/>
      <c r="J596" s="4"/>
      <c r="K596">
        <v>11</v>
      </c>
      <c r="L596" s="4" t="s">
        <v>543</v>
      </c>
      <c r="M596" s="27" t="str">
        <f t="shared" si="93"/>
        <v>2-1-0-13-30-11</v>
      </c>
      <c r="N596" s="27" t="str">
        <f t="shared" si="94"/>
        <v>CATJPAMLDC</v>
      </c>
      <c r="O596" s="4">
        <f t="shared" si="105"/>
        <v>0</v>
      </c>
      <c r="Q596" s="4" t="str">
        <f t="shared" si="122"/>
        <v>2-1-0-13-30-11-000</v>
      </c>
      <c r="R596" s="4" t="str">
        <f t="shared" si="104"/>
        <v>CATJPAMLDC</v>
      </c>
    </row>
    <row r="597" spans="1:18" x14ac:dyDescent="0.2">
      <c r="A597" s="1">
        <v>2</v>
      </c>
      <c r="B597" s="6" t="str">
        <f>VLOOKUP(A597,'ACTIVOS CODIGO'!A:B,2,0)</f>
        <v>PASIVO</v>
      </c>
      <c r="C597" s="2">
        <v>1</v>
      </c>
      <c r="D597" s="7" t="str">
        <f>VLOOKUP(C597,'ACTIVOS CODIGO'!H:I,2,0)</f>
        <v>PASIVO DEL TESORO = PASIVO CORRIENTE</v>
      </c>
      <c r="E597" s="3"/>
      <c r="F597" s="8"/>
      <c r="G597" s="10">
        <v>133</v>
      </c>
      <c r="H597" s="10" t="str">
        <f>VLOOKUP(G597,'PUB 21'!$A$1:$B$29,2,0)</f>
        <v>DEPOSITOS DE TERCEROS</v>
      </c>
      <c r="I597"/>
      <c r="J597" s="4"/>
      <c r="K597">
        <v>11</v>
      </c>
      <c r="L597" s="4" t="s">
        <v>543</v>
      </c>
      <c r="M597" s="27" t="str">
        <f t="shared" si="93"/>
        <v>2-1-0-13-30-11</v>
      </c>
      <c r="N597" s="27" t="str">
        <f t="shared" si="94"/>
        <v>CATJPAMLDC</v>
      </c>
      <c r="O597" s="4">
        <f t="shared" si="105"/>
        <v>1</v>
      </c>
      <c r="P597" s="4" t="s">
        <v>581</v>
      </c>
      <c r="Q597" s="4" t="str">
        <f t="shared" si="122"/>
        <v>2-1-0-13-30-11-001</v>
      </c>
      <c r="R597" s="4" t="str">
        <f t="shared" si="104"/>
        <v>CATJPAMLDC APORTE TRABAJADOR EMPLEADOS</v>
      </c>
    </row>
    <row r="598" spans="1:18" x14ac:dyDescent="0.2">
      <c r="A598" s="1">
        <v>2</v>
      </c>
      <c r="B598" s="6" t="str">
        <f>VLOOKUP(A598,'ACTIVOS CODIGO'!A:B,2,0)</f>
        <v>PASIVO</v>
      </c>
      <c r="C598" s="2">
        <v>1</v>
      </c>
      <c r="D598" s="7" t="str">
        <f>VLOOKUP(C598,'ACTIVOS CODIGO'!H:I,2,0)</f>
        <v>PASIVO DEL TESORO = PASIVO CORRIENTE</v>
      </c>
      <c r="E598" s="3"/>
      <c r="F598" s="8"/>
      <c r="G598" s="10">
        <v>133</v>
      </c>
      <c r="H598" s="10" t="str">
        <f>VLOOKUP(G598,'PUB 21'!$A$1:$B$29,2,0)</f>
        <v>DEPOSITOS DE TERCEROS</v>
      </c>
      <c r="I598"/>
      <c r="J598" s="4"/>
      <c r="K598">
        <v>11</v>
      </c>
      <c r="L598" s="4" t="s">
        <v>543</v>
      </c>
      <c r="M598" s="27" t="str">
        <f t="shared" si="93"/>
        <v>2-1-0-13-30-11</v>
      </c>
      <c r="N598" s="27" t="str">
        <f t="shared" si="94"/>
        <v>CATJPAMLDC</v>
      </c>
      <c r="O598" s="4">
        <f t="shared" si="105"/>
        <v>2</v>
      </c>
      <c r="P598" s="4" t="s">
        <v>582</v>
      </c>
      <c r="Q598" s="4" t="str">
        <f t="shared" si="122"/>
        <v>2-1-0-13-30-11-002</v>
      </c>
      <c r="R598" s="4" t="str">
        <f t="shared" si="104"/>
        <v>CATJPAMLDC PRESTAMO EMPLEADOS</v>
      </c>
    </row>
    <row r="599" spans="1:18" x14ac:dyDescent="0.2">
      <c r="A599" s="1">
        <v>2</v>
      </c>
      <c r="B599" s="6" t="str">
        <f>VLOOKUP(A599,'ACTIVOS CODIGO'!A:B,2,0)</f>
        <v>PASIVO</v>
      </c>
      <c r="C599" s="2">
        <v>1</v>
      </c>
      <c r="D599" s="7" t="str">
        <f>VLOOKUP(C599,'ACTIVOS CODIGO'!H:I,2,0)</f>
        <v>PASIVO DEL TESORO = PASIVO CORRIENTE</v>
      </c>
      <c r="E599" s="3"/>
      <c r="F599" s="8"/>
      <c r="G599" s="10">
        <v>133</v>
      </c>
      <c r="H599" s="10" t="str">
        <f>VLOOKUP(G599,'PUB 21'!$A$1:$B$29,2,0)</f>
        <v>DEPOSITOS DE TERCEROS</v>
      </c>
      <c r="I599"/>
      <c r="J599" s="4"/>
      <c r="K599">
        <v>11</v>
      </c>
      <c r="L599" s="4" t="s">
        <v>543</v>
      </c>
      <c r="M599" s="27" t="str">
        <f t="shared" si="93"/>
        <v>2-1-0-13-30-11</v>
      </c>
      <c r="N599" s="27" t="str">
        <f t="shared" si="94"/>
        <v>CATJPAMLDC</v>
      </c>
      <c r="O599" s="4">
        <f t="shared" si="105"/>
        <v>3</v>
      </c>
      <c r="P599" s="4" t="s">
        <v>583</v>
      </c>
      <c r="Q599" s="4" t="str">
        <f t="shared" si="122"/>
        <v>2-1-0-13-30-11-003</v>
      </c>
      <c r="R599" s="4" t="str">
        <f t="shared" si="104"/>
        <v>APORTE OBRERO C.A.T.J.P.A.M.L. OBREROS</v>
      </c>
    </row>
    <row r="600" spans="1:18" x14ac:dyDescent="0.2">
      <c r="A600" s="1">
        <v>2</v>
      </c>
      <c r="B600" s="6" t="str">
        <f>VLOOKUP(A600,'ACTIVOS CODIGO'!A:B,2,0)</f>
        <v>PASIVO</v>
      </c>
      <c r="C600" s="2">
        <v>1</v>
      </c>
      <c r="D600" s="7" t="str">
        <f>VLOOKUP(C600,'ACTIVOS CODIGO'!H:I,2,0)</f>
        <v>PASIVO DEL TESORO = PASIVO CORRIENTE</v>
      </c>
      <c r="E600" s="3"/>
      <c r="F600" s="8"/>
      <c r="G600" s="10">
        <v>133</v>
      </c>
      <c r="H600" s="10" t="str">
        <f>VLOOKUP(G600,'PUB 21'!$A$1:$B$29,2,0)</f>
        <v>DEPOSITOS DE TERCEROS</v>
      </c>
      <c r="I600"/>
      <c r="J600" s="4"/>
      <c r="K600">
        <v>11</v>
      </c>
      <c r="L600" s="4" t="s">
        <v>543</v>
      </c>
      <c r="M600" s="27" t="str">
        <f t="shared" si="93"/>
        <v>2-1-0-13-30-11</v>
      </c>
      <c r="N600" s="27" t="str">
        <f t="shared" si="94"/>
        <v>CATJPAMLDC</v>
      </c>
      <c r="O600" s="4">
        <f t="shared" si="105"/>
        <v>4</v>
      </c>
      <c r="P600" s="4" t="s">
        <v>584</v>
      </c>
      <c r="Q600" s="4" t="str">
        <f t="shared" si="122"/>
        <v>2-1-0-13-30-11-004</v>
      </c>
      <c r="R600" s="4" t="str">
        <f t="shared" si="104"/>
        <v>CATJPAMLDC APORTE TRABAJADOR OBREROS</v>
      </c>
    </row>
    <row r="601" spans="1:18" x14ac:dyDescent="0.2">
      <c r="A601" s="1">
        <v>2</v>
      </c>
      <c r="B601" s="6" t="str">
        <f>VLOOKUP(A601,'ACTIVOS CODIGO'!A:B,2,0)</f>
        <v>PASIVO</v>
      </c>
      <c r="C601" s="2">
        <v>1</v>
      </c>
      <c r="D601" s="7" t="str">
        <f>VLOOKUP(C601,'ACTIVOS CODIGO'!H:I,2,0)</f>
        <v>PASIVO DEL TESORO = PASIVO CORRIENTE</v>
      </c>
      <c r="E601" s="3"/>
      <c r="F601" s="8"/>
      <c r="G601" s="10">
        <v>133</v>
      </c>
      <c r="H601" s="10" t="str">
        <f>VLOOKUP(G601,'PUB 21'!$A$1:$B$29,2,0)</f>
        <v>DEPOSITOS DE TERCEROS</v>
      </c>
      <c r="I601"/>
      <c r="J601" s="4"/>
      <c r="K601">
        <v>11</v>
      </c>
      <c r="L601" s="4" t="s">
        <v>543</v>
      </c>
      <c r="M601" s="27" t="str">
        <f t="shared" si="93"/>
        <v>2-1-0-13-30-11</v>
      </c>
      <c r="N601" s="27" t="str">
        <f t="shared" si="94"/>
        <v>CATJPAMLDC</v>
      </c>
      <c r="O601" s="4">
        <f t="shared" si="105"/>
        <v>5</v>
      </c>
      <c r="P601" s="4" t="s">
        <v>585</v>
      </c>
      <c r="Q601" s="4" t="str">
        <f t="shared" si="122"/>
        <v>2-1-0-13-30-11-005</v>
      </c>
      <c r="R601" s="4" t="str">
        <f t="shared" si="104"/>
        <v>CATJPAMLDC PRESTAMO OBREROS</v>
      </c>
    </row>
    <row r="602" spans="1:18" x14ac:dyDescent="0.2">
      <c r="A602" s="1">
        <v>2</v>
      </c>
      <c r="B602" s="6" t="str">
        <f>VLOOKUP(A602,'ACTIVOS CODIGO'!A:B,2,0)</f>
        <v>PASIVO</v>
      </c>
      <c r="C602" s="2">
        <v>1</v>
      </c>
      <c r="D602" s="7" t="str">
        <f>VLOOKUP(C602,'ACTIVOS CODIGO'!H:I,2,0)</f>
        <v>PASIVO DEL TESORO = PASIVO CORRIENTE</v>
      </c>
      <c r="E602" s="3"/>
      <c r="F602" s="8"/>
      <c r="G602" s="10">
        <v>133</v>
      </c>
      <c r="H602" s="10" t="str">
        <f>VLOOKUP(G602,'PUB 21'!$A$1:$B$29,2,0)</f>
        <v>DEPOSITOS DE TERCEROS</v>
      </c>
      <c r="I602"/>
      <c r="J602" s="4"/>
      <c r="K602">
        <v>11</v>
      </c>
      <c r="L602" s="4" t="s">
        <v>543</v>
      </c>
      <c r="M602" s="27" t="str">
        <f t="shared" si="93"/>
        <v>2-1-0-13-30-11</v>
      </c>
      <c r="N602" s="27" t="str">
        <f t="shared" si="94"/>
        <v>CATJPAMLDC</v>
      </c>
      <c r="O602" s="4">
        <f t="shared" si="105"/>
        <v>6</v>
      </c>
      <c r="P602" s="4" t="s">
        <v>586</v>
      </c>
      <c r="Q602" s="4" t="str">
        <f t="shared" si="122"/>
        <v>2-1-0-13-30-11-006</v>
      </c>
      <c r="R602" s="4" t="str">
        <f t="shared" si="104"/>
        <v>CATJPAMLDC APORTE TRABAJADOR JUBILADOS</v>
      </c>
    </row>
    <row r="603" spans="1:18" x14ac:dyDescent="0.2">
      <c r="A603" s="1">
        <v>2</v>
      </c>
      <c r="B603" s="6" t="str">
        <f>VLOOKUP(A603,'ACTIVOS CODIGO'!A:B,2,0)</f>
        <v>PASIVO</v>
      </c>
      <c r="C603" s="2">
        <v>1</v>
      </c>
      <c r="D603" s="7" t="str">
        <f>VLOOKUP(C603,'ACTIVOS CODIGO'!H:I,2,0)</f>
        <v>PASIVO DEL TESORO = PASIVO CORRIENTE</v>
      </c>
      <c r="E603" s="3"/>
      <c r="F603" s="8"/>
      <c r="G603" s="10">
        <v>133</v>
      </c>
      <c r="H603" s="10" t="str">
        <f>VLOOKUP(G603,'PUB 21'!$A$1:$B$29,2,0)</f>
        <v>DEPOSITOS DE TERCEROS</v>
      </c>
      <c r="I603"/>
      <c r="J603" s="4"/>
      <c r="K603">
        <v>11</v>
      </c>
      <c r="L603" s="4" t="s">
        <v>543</v>
      </c>
      <c r="M603" s="27" t="str">
        <f t="shared" si="93"/>
        <v>2-1-0-13-30-11</v>
      </c>
      <c r="N603" s="27" t="str">
        <f t="shared" si="94"/>
        <v>CATJPAMLDC</v>
      </c>
      <c r="O603" s="4">
        <f t="shared" si="105"/>
        <v>7</v>
      </c>
      <c r="P603" s="4" t="s">
        <v>587</v>
      </c>
      <c r="Q603" s="4" t="str">
        <f t="shared" si="122"/>
        <v>2-1-0-13-30-11-007</v>
      </c>
      <c r="R603" s="4" t="str">
        <f t="shared" si="104"/>
        <v>CATJPAMLDC PRESTAMO JUBILADOS</v>
      </c>
    </row>
    <row r="604" spans="1:18" x14ac:dyDescent="0.2">
      <c r="A604" s="1">
        <v>2</v>
      </c>
      <c r="B604" s="6" t="str">
        <f>VLOOKUP(A604,'ACTIVOS CODIGO'!A:B,2,0)</f>
        <v>PASIVO</v>
      </c>
      <c r="C604" s="2">
        <v>1</v>
      </c>
      <c r="D604" s="7" t="str">
        <f>VLOOKUP(C604,'ACTIVOS CODIGO'!H:I,2,0)</f>
        <v>PASIVO DEL TESORO = PASIVO CORRIENTE</v>
      </c>
      <c r="E604" s="3"/>
      <c r="F604" s="8"/>
      <c r="G604" s="10">
        <v>133</v>
      </c>
      <c r="H604" s="10" t="str">
        <f>VLOOKUP(G604,'PUB 21'!$A$1:$B$29,2,0)</f>
        <v>DEPOSITOS DE TERCEROS</v>
      </c>
      <c r="I604"/>
      <c r="J604" s="4"/>
      <c r="K604">
        <v>11</v>
      </c>
      <c r="L604" s="4" t="s">
        <v>543</v>
      </c>
      <c r="M604" s="27" t="str">
        <f t="shared" ref="M604:M605" si="123">CONCATENATE(TEXT(A604,"0"),"-",TEXT(C604,"0"),"-",TEXT(E604,"0"),"-",TEXT(LEFT(G604,2),"00"),"-",TEXT(RIGHT(G604,1),"0"),TEXT(I604,"0"),"-",TEXT(K604,"00"))</f>
        <v>2-1-0-13-30-11</v>
      </c>
      <c r="N604" s="27" t="str">
        <f t="shared" ref="N604:N605" si="124">IF(L604="",IF(J604="",IF(H604="",IF(F604="",IF(D604="",B604,D604),F604),H604),J604),L604)</f>
        <v>CATJPAMLDC</v>
      </c>
      <c r="O604" s="4">
        <f t="shared" si="105"/>
        <v>8</v>
      </c>
      <c r="P604" s="4" t="s">
        <v>789</v>
      </c>
      <c r="Q604" s="4" t="str">
        <f t="shared" si="122"/>
        <v>2-1-0-13-30-11-008</v>
      </c>
      <c r="R604" s="4" t="str">
        <f t="shared" si="104"/>
        <v>CATJPAMLDC APORTE TRABAJADOR CONTRATADOS</v>
      </c>
    </row>
    <row r="605" spans="1:18" x14ac:dyDescent="0.2">
      <c r="A605" s="1">
        <v>2</v>
      </c>
      <c r="B605" s="6" t="str">
        <f>VLOOKUP(A605,'ACTIVOS CODIGO'!A:B,2,0)</f>
        <v>PASIVO</v>
      </c>
      <c r="C605" s="2">
        <v>1</v>
      </c>
      <c r="D605" s="7" t="str">
        <f>VLOOKUP(C605,'ACTIVOS CODIGO'!H:I,2,0)</f>
        <v>PASIVO DEL TESORO = PASIVO CORRIENTE</v>
      </c>
      <c r="E605" s="3"/>
      <c r="F605" s="8"/>
      <c r="G605" s="10">
        <v>133</v>
      </c>
      <c r="H605" s="10" t="str">
        <f>VLOOKUP(G605,'PUB 21'!$A$1:$B$29,2,0)</f>
        <v>DEPOSITOS DE TERCEROS</v>
      </c>
      <c r="I605"/>
      <c r="J605" s="4"/>
      <c r="K605">
        <v>11</v>
      </c>
      <c r="L605" s="4" t="s">
        <v>543</v>
      </c>
      <c r="M605" s="27" t="str">
        <f t="shared" si="123"/>
        <v>2-1-0-13-30-11</v>
      </c>
      <c r="N605" s="27" t="str">
        <f t="shared" si="124"/>
        <v>CATJPAMLDC</v>
      </c>
      <c r="O605" s="4">
        <f t="shared" si="105"/>
        <v>9</v>
      </c>
      <c r="P605" s="4" t="s">
        <v>790</v>
      </c>
      <c r="Q605" s="4" t="str">
        <f t="shared" si="122"/>
        <v>2-1-0-13-30-11-009</v>
      </c>
      <c r="R605" s="4" t="str">
        <f t="shared" si="104"/>
        <v>CATJPAMLDC PRESTAMO CONTRATADOS</v>
      </c>
    </row>
    <row r="606" spans="1:18" x14ac:dyDescent="0.2">
      <c r="A606" s="1">
        <v>2</v>
      </c>
      <c r="B606" s="6" t="str">
        <f>VLOOKUP(A606,'ACTIVOS CODIGO'!A:B,2,0)</f>
        <v>PASIVO</v>
      </c>
      <c r="C606" s="2">
        <v>1</v>
      </c>
      <c r="D606" s="7" t="str">
        <f>VLOOKUP(C606,'ACTIVOS CODIGO'!H:I,2,0)</f>
        <v>PASIVO DEL TESORO = PASIVO CORRIENTE</v>
      </c>
      <c r="E606" s="3"/>
      <c r="F606" s="8"/>
      <c r="G606" s="10">
        <v>133</v>
      </c>
      <c r="H606" s="10" t="str">
        <f>VLOOKUP(G606,'PUB 21'!$A$1:$B$29,2,0)</f>
        <v>DEPOSITOS DE TERCEROS</v>
      </c>
      <c r="I606"/>
      <c r="J606" s="4"/>
      <c r="K606">
        <v>11</v>
      </c>
      <c r="L606" s="4" t="s">
        <v>543</v>
      </c>
      <c r="M606" s="27" t="str">
        <f t="shared" ref="M606:M607" si="125">CONCATENATE(TEXT(A606,"0"),"-",TEXT(C606,"0"),"-",TEXT(E606,"0"),"-",TEXT(LEFT(G606,2),"00"),"-",TEXT(RIGHT(G606,1),"0"),TEXT(I606,"0"),"-",TEXT(K606,"00"))</f>
        <v>2-1-0-13-30-11</v>
      </c>
      <c r="N606" s="27" t="str">
        <f t="shared" ref="N606:N607" si="126">IF(L606="",IF(J606="",IF(H606="",IF(F606="",IF(D606="",B606,D606),F606),H606),J606),L606)</f>
        <v>CATJPAMLDC</v>
      </c>
      <c r="O606" s="4">
        <f t="shared" si="105"/>
        <v>10</v>
      </c>
      <c r="P606" s="4" t="s">
        <v>867</v>
      </c>
      <c r="Q606" s="4" t="str">
        <f t="shared" ref="Q606:Q607" si="127">CONCATENATE(TEXT(A606,"0"),"-",TEXT(C606,"0"),"-",TEXT(E606,"0"),"-",TEXT(LEFT(G606,2),"00"),"-",TEXT(RIGHT(G606,1),"0"),TEXT(I606,"0"),"-",TEXT(K606,"00"),"-",TEXT(O606,"000"))</f>
        <v>2-1-0-13-30-11-010</v>
      </c>
      <c r="R606" s="4" t="str">
        <f t="shared" ref="R606:R607" si="128">IF(P606="",IF(L606="",IF(J606="",IF(H606="",IF(F606="",IF(D606="",B606,D606),F606),H606),J606),L606),P606)</f>
        <v>CATJPAMLDC APORTE TRABAJADOR DIRECCION Y CONFIANZA</v>
      </c>
    </row>
    <row r="607" spans="1:18" x14ac:dyDescent="0.2">
      <c r="A607" s="1">
        <v>2</v>
      </c>
      <c r="B607" s="6" t="str">
        <f>VLOOKUP(A607,'ACTIVOS CODIGO'!A:B,2,0)</f>
        <v>PASIVO</v>
      </c>
      <c r="C607" s="2">
        <v>1</v>
      </c>
      <c r="D607" s="7" t="str">
        <f>VLOOKUP(C607,'ACTIVOS CODIGO'!H:I,2,0)</f>
        <v>PASIVO DEL TESORO = PASIVO CORRIENTE</v>
      </c>
      <c r="E607" s="3"/>
      <c r="F607" s="8"/>
      <c r="G607" s="10">
        <v>133</v>
      </c>
      <c r="H607" s="10" t="str">
        <f>VLOOKUP(G607,'PUB 21'!$A$1:$B$29,2,0)</f>
        <v>DEPOSITOS DE TERCEROS</v>
      </c>
      <c r="I607"/>
      <c r="J607" s="4"/>
      <c r="K607">
        <v>11</v>
      </c>
      <c r="L607" s="4" t="s">
        <v>543</v>
      </c>
      <c r="M607" s="27" t="str">
        <f t="shared" si="125"/>
        <v>2-1-0-13-30-11</v>
      </c>
      <c r="N607" s="27" t="str">
        <f t="shared" si="126"/>
        <v>CATJPAMLDC</v>
      </c>
      <c r="O607" s="4">
        <f t="shared" si="105"/>
        <v>11</v>
      </c>
      <c r="P607" s="4" t="s">
        <v>868</v>
      </c>
      <c r="Q607" s="4" t="str">
        <f t="shared" si="127"/>
        <v>2-1-0-13-30-11-011</v>
      </c>
      <c r="R607" s="4" t="str">
        <f t="shared" si="128"/>
        <v>CATJPAMLDC PRESTAMO DIRECCION Y CONFIANZA</v>
      </c>
    </row>
    <row r="608" spans="1:18" x14ac:dyDescent="0.2">
      <c r="A608" s="1">
        <v>2</v>
      </c>
      <c r="B608" s="6" t="str">
        <f>VLOOKUP(A608,'ACTIVOS CODIGO'!A:B,2,0)</f>
        <v>PASIVO</v>
      </c>
      <c r="C608" s="2">
        <v>1</v>
      </c>
      <c r="D608" s="7" t="str">
        <f>VLOOKUP(C608,'ACTIVOS CODIGO'!H:I,2,0)</f>
        <v>PASIVO DEL TESORO = PASIVO CORRIENTE</v>
      </c>
      <c r="E608" s="3"/>
      <c r="F608" s="8"/>
      <c r="G608" s="10">
        <v>133</v>
      </c>
      <c r="H608" s="10" t="str">
        <f>VLOOKUP(G608,'PUB 21'!$A$1:$B$29,2,0)</f>
        <v>DEPOSITOS DE TERCEROS</v>
      </c>
      <c r="I608"/>
      <c r="J608" s="4"/>
      <c r="K608">
        <v>12</v>
      </c>
      <c r="L608" s="4" t="s">
        <v>544</v>
      </c>
      <c r="M608" s="27" t="str">
        <f t="shared" si="93"/>
        <v>2-1-0-13-30-12</v>
      </c>
      <c r="N608" s="27" t="str">
        <f t="shared" si="94"/>
        <v>COLEGIO DE ABOGADOS</v>
      </c>
      <c r="O608" s="4">
        <f t="shared" si="105"/>
        <v>0</v>
      </c>
      <c r="Q608" s="4" t="str">
        <f t="shared" si="122"/>
        <v>2-1-0-13-30-12-000</v>
      </c>
      <c r="R608" s="4" t="str">
        <f t="shared" si="104"/>
        <v>COLEGIO DE ABOGADOS</v>
      </c>
    </row>
    <row r="609" spans="1:18" x14ac:dyDescent="0.2">
      <c r="A609" s="1">
        <v>2</v>
      </c>
      <c r="B609" s="6" t="str">
        <f>VLOOKUP(A609,'ACTIVOS CODIGO'!A:B,2,0)</f>
        <v>PASIVO</v>
      </c>
      <c r="C609" s="2">
        <v>1</v>
      </c>
      <c r="D609" s="7" t="str">
        <f>VLOOKUP(C609,'ACTIVOS CODIGO'!H:I,2,0)</f>
        <v>PASIVO DEL TESORO = PASIVO CORRIENTE</v>
      </c>
      <c r="E609" s="3"/>
      <c r="F609" s="8"/>
      <c r="G609" s="10">
        <v>133</v>
      </c>
      <c r="H609" s="10" t="str">
        <f>VLOOKUP(G609,'PUB 21'!$A$1:$B$29,2,0)</f>
        <v>DEPOSITOS DE TERCEROS</v>
      </c>
      <c r="I609"/>
      <c r="J609" s="4"/>
      <c r="K609">
        <v>12</v>
      </c>
      <c r="L609" s="4" t="s">
        <v>544</v>
      </c>
      <c r="M609" s="27" t="str">
        <f t="shared" si="93"/>
        <v>2-1-0-13-30-12</v>
      </c>
      <c r="N609" s="27" t="str">
        <f t="shared" si="94"/>
        <v>COLEGIO DE ABOGADOS</v>
      </c>
      <c r="O609" s="4">
        <f t="shared" si="105"/>
        <v>1</v>
      </c>
      <c r="P609" s="4" t="s">
        <v>588</v>
      </c>
      <c r="Q609" s="4" t="str">
        <f t="shared" si="122"/>
        <v>2-1-0-13-30-12-001</v>
      </c>
      <c r="R609" s="4" t="str">
        <f t="shared" si="104"/>
        <v>COLEGIO DE ABOGADOS EMPLEADOS</v>
      </c>
    </row>
    <row r="610" spans="1:18" x14ac:dyDescent="0.2">
      <c r="A610" s="1">
        <v>2</v>
      </c>
      <c r="B610" s="6" t="str">
        <f>VLOOKUP(A610,'ACTIVOS CODIGO'!A:B,2,0)</f>
        <v>PASIVO</v>
      </c>
      <c r="C610" s="2">
        <v>1</v>
      </c>
      <c r="D610" s="7" t="str">
        <f>VLOOKUP(C610,'ACTIVOS CODIGO'!H:I,2,0)</f>
        <v>PASIVO DEL TESORO = PASIVO CORRIENTE</v>
      </c>
      <c r="E610" s="3"/>
      <c r="F610" s="8"/>
      <c r="G610" s="10">
        <v>133</v>
      </c>
      <c r="H610" s="10" t="str">
        <f>VLOOKUP(G610,'PUB 21'!$A$1:$B$29,2,0)</f>
        <v>DEPOSITOS DE TERCEROS</v>
      </c>
      <c r="I610"/>
      <c r="J610" s="4"/>
      <c r="K610">
        <v>13</v>
      </c>
      <c r="L610" s="4" t="s">
        <v>545</v>
      </c>
      <c r="M610" s="27" t="str">
        <f t="shared" si="93"/>
        <v>2-1-0-13-30-13</v>
      </c>
      <c r="N610" s="27" t="str">
        <f t="shared" si="94"/>
        <v>SINDICATOS</v>
      </c>
      <c r="O610" s="4">
        <f t="shared" si="105"/>
        <v>0</v>
      </c>
      <c r="Q610" s="4" t="str">
        <f t="shared" si="122"/>
        <v>2-1-0-13-30-13-000</v>
      </c>
      <c r="R610" s="4" t="str">
        <f t="shared" si="104"/>
        <v>SINDICATOS</v>
      </c>
    </row>
    <row r="611" spans="1:18" x14ac:dyDescent="0.2">
      <c r="A611" s="1">
        <v>2</v>
      </c>
      <c r="B611" s="6" t="str">
        <f>VLOOKUP(A611,'ACTIVOS CODIGO'!A:B,2,0)</f>
        <v>PASIVO</v>
      </c>
      <c r="C611" s="2">
        <v>1</v>
      </c>
      <c r="D611" s="7" t="str">
        <f>VLOOKUP(C611,'ACTIVOS CODIGO'!H:I,2,0)</f>
        <v>PASIVO DEL TESORO = PASIVO CORRIENTE</v>
      </c>
      <c r="E611" s="3"/>
      <c r="F611" s="8"/>
      <c r="G611" s="10">
        <v>133</v>
      </c>
      <c r="H611" s="10" t="str">
        <f>VLOOKUP(G611,'PUB 21'!$A$1:$B$29,2,0)</f>
        <v>DEPOSITOS DE TERCEROS</v>
      </c>
      <c r="I611"/>
      <c r="J611" s="4"/>
      <c r="K611">
        <v>13</v>
      </c>
      <c r="L611" s="4" t="s">
        <v>545</v>
      </c>
      <c r="M611" s="27" t="str">
        <f t="shared" si="93"/>
        <v>2-1-0-13-30-13</v>
      </c>
      <c r="N611" s="27" t="str">
        <f t="shared" si="94"/>
        <v>SINDICATOS</v>
      </c>
      <c r="O611" s="4">
        <f t="shared" si="105"/>
        <v>1</v>
      </c>
      <c r="P611" s="4" t="s">
        <v>589</v>
      </c>
      <c r="Q611" s="4" t="str">
        <f t="shared" si="122"/>
        <v>2-1-0-13-30-13-001</v>
      </c>
      <c r="R611" s="4" t="str">
        <f t="shared" si="104"/>
        <v>SINDICATO UST A.M.B.L. D.C. EMPLEADOS</v>
      </c>
    </row>
    <row r="612" spans="1:18" x14ac:dyDescent="0.2">
      <c r="A612" s="1">
        <v>2</v>
      </c>
      <c r="B612" s="6" t="str">
        <f>VLOOKUP(A612,'ACTIVOS CODIGO'!A:B,2,0)</f>
        <v>PASIVO</v>
      </c>
      <c r="C612" s="2">
        <v>1</v>
      </c>
      <c r="D612" s="7" t="str">
        <f>VLOOKUP(C612,'ACTIVOS CODIGO'!H:I,2,0)</f>
        <v>PASIVO DEL TESORO = PASIVO CORRIENTE</v>
      </c>
      <c r="E612" s="3"/>
      <c r="F612" s="8"/>
      <c r="G612" s="10">
        <v>133</v>
      </c>
      <c r="H612" s="10" t="str">
        <f>VLOOKUP(G612,'PUB 21'!$A$1:$B$29,2,0)</f>
        <v>DEPOSITOS DE TERCEROS</v>
      </c>
      <c r="I612"/>
      <c r="J612" s="4"/>
      <c r="K612">
        <v>13</v>
      </c>
      <c r="L612" s="4" t="s">
        <v>545</v>
      </c>
      <c r="M612" s="27" t="str">
        <f t="shared" si="93"/>
        <v>2-1-0-13-30-13</v>
      </c>
      <c r="N612" s="27" t="str">
        <f t="shared" si="94"/>
        <v>SINDICATOS</v>
      </c>
      <c r="O612" s="4">
        <f t="shared" si="105"/>
        <v>2</v>
      </c>
      <c r="P612" s="4" t="s">
        <v>590</v>
      </c>
      <c r="Q612" s="4" t="str">
        <f t="shared" si="122"/>
        <v>2-1-0-13-30-13-002</v>
      </c>
      <c r="R612" s="4" t="str">
        <f t="shared" si="104"/>
        <v>SIRBEPA A.M.L. DIR. GRAL. EMPLEADOS</v>
      </c>
    </row>
    <row r="613" spans="1:18" x14ac:dyDescent="0.2">
      <c r="A613" s="1">
        <v>2</v>
      </c>
      <c r="B613" s="6" t="str">
        <f>VLOOKUP(A613,'ACTIVOS CODIGO'!A:B,2,0)</f>
        <v>PASIVO</v>
      </c>
      <c r="C613" s="2">
        <v>1</v>
      </c>
      <c r="D613" s="7" t="str">
        <f>VLOOKUP(C613,'ACTIVOS CODIGO'!H:I,2,0)</f>
        <v>PASIVO DEL TESORO = PASIVO CORRIENTE</v>
      </c>
      <c r="E613" s="3"/>
      <c r="F613" s="8"/>
      <c r="G613" s="10">
        <v>133</v>
      </c>
      <c r="H613" s="10" t="str">
        <f>VLOOKUP(G613,'PUB 21'!$A$1:$B$29,2,0)</f>
        <v>DEPOSITOS DE TERCEROS</v>
      </c>
      <c r="I613"/>
      <c r="J613" s="4"/>
      <c r="K613">
        <v>13</v>
      </c>
      <c r="L613" s="4" t="s">
        <v>545</v>
      </c>
      <c r="M613" s="27" t="str">
        <f t="shared" si="93"/>
        <v>2-1-0-13-30-13</v>
      </c>
      <c r="N613" s="27" t="str">
        <f t="shared" si="94"/>
        <v>SINDICATOS</v>
      </c>
      <c r="O613" s="4">
        <f t="shared" si="105"/>
        <v>3</v>
      </c>
      <c r="P613" s="4" t="s">
        <v>591</v>
      </c>
      <c r="Q613" s="4" t="str">
        <f t="shared" si="122"/>
        <v>2-1-0-13-30-13-003</v>
      </c>
      <c r="R613" s="4" t="str">
        <f t="shared" si="104"/>
        <v>SIRBEPA ADMINISTRATIVO EMPLEADOS</v>
      </c>
    </row>
    <row r="614" spans="1:18" x14ac:dyDescent="0.2">
      <c r="A614" s="1">
        <v>2</v>
      </c>
      <c r="B614" s="6" t="str">
        <f>VLOOKUP(A614,'ACTIVOS CODIGO'!A:B,2,0)</f>
        <v>PASIVO</v>
      </c>
      <c r="C614" s="2">
        <v>1</v>
      </c>
      <c r="D614" s="7" t="str">
        <f>VLOOKUP(C614,'ACTIVOS CODIGO'!H:I,2,0)</f>
        <v>PASIVO DEL TESORO = PASIVO CORRIENTE</v>
      </c>
      <c r="E614" s="3"/>
      <c r="F614" s="8"/>
      <c r="G614" s="10">
        <v>133</v>
      </c>
      <c r="H614" s="10" t="str">
        <f>VLOOKUP(G614,'PUB 21'!$A$1:$B$29,2,0)</f>
        <v>DEPOSITOS DE TERCEROS</v>
      </c>
      <c r="I614"/>
      <c r="J614" s="4"/>
      <c r="K614">
        <v>13</v>
      </c>
      <c r="L614" s="4" t="s">
        <v>545</v>
      </c>
      <c r="M614" s="27" t="str">
        <f t="shared" si="93"/>
        <v>2-1-0-13-30-13</v>
      </c>
      <c r="N614" s="27" t="str">
        <f t="shared" si="94"/>
        <v>SINDICATOS</v>
      </c>
      <c r="O614" s="4">
        <f t="shared" si="105"/>
        <v>4</v>
      </c>
      <c r="P614" s="4" t="s">
        <v>592</v>
      </c>
      <c r="Q614" s="4" t="str">
        <f t="shared" si="122"/>
        <v>2-1-0-13-30-13-004</v>
      </c>
      <c r="R614" s="4" t="str">
        <f t="shared" si="104"/>
        <v>CUOTA SINDICAL SUOMGIA JUBILADOS</v>
      </c>
    </row>
    <row r="615" spans="1:18" x14ac:dyDescent="0.2">
      <c r="A615" s="1">
        <v>2</v>
      </c>
      <c r="B615" s="6" t="str">
        <f>VLOOKUP(A615,'ACTIVOS CODIGO'!A:B,2,0)</f>
        <v>PASIVO</v>
      </c>
      <c r="C615" s="2">
        <v>1</v>
      </c>
      <c r="D615" s="7" t="str">
        <f>VLOOKUP(C615,'ACTIVOS CODIGO'!H:I,2,0)</f>
        <v>PASIVO DEL TESORO = PASIVO CORRIENTE</v>
      </c>
      <c r="E615" s="3"/>
      <c r="F615" s="8"/>
      <c r="G615" s="10">
        <v>133</v>
      </c>
      <c r="H615" s="10" t="str">
        <f>VLOOKUP(G615,'PUB 21'!$A$1:$B$29,2,0)</f>
        <v>DEPOSITOS DE TERCEROS</v>
      </c>
      <c r="I615"/>
      <c r="J615" s="4"/>
      <c r="K615">
        <v>13</v>
      </c>
      <c r="L615" s="4" t="s">
        <v>545</v>
      </c>
      <c r="M615" s="27" t="str">
        <f t="shared" si="93"/>
        <v>2-1-0-13-30-13</v>
      </c>
      <c r="N615" s="27" t="str">
        <f t="shared" si="94"/>
        <v>SINDICATOS</v>
      </c>
      <c r="O615" s="4">
        <f t="shared" si="105"/>
        <v>5</v>
      </c>
      <c r="P615" s="4" t="s">
        <v>593</v>
      </c>
      <c r="Q615" s="4" t="str">
        <f t="shared" si="122"/>
        <v>2-1-0-13-30-13-005</v>
      </c>
      <c r="R615" s="4" t="str">
        <f t="shared" si="104"/>
        <v>DESCUENTO CUOTA SINDICAL JUB. JUBILADOS</v>
      </c>
    </row>
    <row r="616" spans="1:18" x14ac:dyDescent="0.2">
      <c r="A616" s="1">
        <v>2</v>
      </c>
      <c r="B616" s="6" t="str">
        <f>VLOOKUP(A616,'ACTIVOS CODIGO'!A:B,2,0)</f>
        <v>PASIVO</v>
      </c>
      <c r="C616" s="2">
        <v>1</v>
      </c>
      <c r="D616" s="7" t="str">
        <f>VLOOKUP(C616,'ACTIVOS CODIGO'!H:I,2,0)</f>
        <v>PASIVO DEL TESORO = PASIVO CORRIENTE</v>
      </c>
      <c r="E616" s="3"/>
      <c r="F616" s="8"/>
      <c r="G616" s="10">
        <v>133</v>
      </c>
      <c r="H616" s="10" t="str">
        <f>VLOOKUP(G616,'PUB 21'!$A$1:$B$29,2,0)</f>
        <v>DEPOSITOS DE TERCEROS</v>
      </c>
      <c r="I616"/>
      <c r="J616" s="4"/>
      <c r="K616">
        <v>14</v>
      </c>
      <c r="L616" s="4" t="s">
        <v>546</v>
      </c>
      <c r="M616" s="27" t="str">
        <f t="shared" si="93"/>
        <v>2-1-0-13-30-14</v>
      </c>
      <c r="N616" s="27" t="str">
        <f t="shared" si="94"/>
        <v>SUMEP</v>
      </c>
      <c r="O616" s="4">
        <f t="shared" si="105"/>
        <v>0</v>
      </c>
      <c r="Q616" s="4" t="str">
        <f t="shared" si="122"/>
        <v>2-1-0-13-30-14-000</v>
      </c>
      <c r="R616" s="4" t="str">
        <f t="shared" si="104"/>
        <v>SUMEP</v>
      </c>
    </row>
    <row r="617" spans="1:18" x14ac:dyDescent="0.2">
      <c r="A617" s="1">
        <v>2</v>
      </c>
      <c r="B617" s="6" t="str">
        <f>VLOOKUP(A617,'ACTIVOS CODIGO'!A:B,2,0)</f>
        <v>PASIVO</v>
      </c>
      <c r="C617" s="2">
        <v>1</v>
      </c>
      <c r="D617" s="7" t="str">
        <f>VLOOKUP(C617,'ACTIVOS CODIGO'!H:I,2,0)</f>
        <v>PASIVO DEL TESORO = PASIVO CORRIENTE</v>
      </c>
      <c r="E617" s="3"/>
      <c r="F617" s="8"/>
      <c r="G617" s="10">
        <v>133</v>
      </c>
      <c r="H617" s="10" t="str">
        <f>VLOOKUP(G617,'PUB 21'!$A$1:$B$29,2,0)</f>
        <v>DEPOSITOS DE TERCEROS</v>
      </c>
      <c r="I617"/>
      <c r="J617" s="4"/>
      <c r="K617">
        <v>14</v>
      </c>
      <c r="L617" s="4" t="s">
        <v>546</v>
      </c>
      <c r="M617" s="27" t="str">
        <f t="shared" si="93"/>
        <v>2-1-0-13-30-14</v>
      </c>
      <c r="N617" s="27" t="str">
        <f t="shared" si="94"/>
        <v>SUMEP</v>
      </c>
      <c r="O617" s="4">
        <f t="shared" si="105"/>
        <v>1</v>
      </c>
      <c r="P617" s="4" t="s">
        <v>594</v>
      </c>
      <c r="Q617" s="4" t="str">
        <f t="shared" si="122"/>
        <v>2-1-0-13-30-14-001</v>
      </c>
      <c r="R617" s="4" t="str">
        <f t="shared" si="104"/>
        <v>SUMEP DIR. GENERAL EMPLEADOS</v>
      </c>
    </row>
    <row r="618" spans="1:18" x14ac:dyDescent="0.2">
      <c r="A618" s="1">
        <v>2</v>
      </c>
      <c r="B618" s="6" t="str">
        <f>VLOOKUP(A618,'ACTIVOS CODIGO'!A:B,2,0)</f>
        <v>PASIVO</v>
      </c>
      <c r="C618" s="2">
        <v>1</v>
      </c>
      <c r="D618" s="7" t="str">
        <f>VLOOKUP(C618,'ACTIVOS CODIGO'!H:I,2,0)</f>
        <v>PASIVO DEL TESORO = PASIVO CORRIENTE</v>
      </c>
      <c r="E618" s="3"/>
      <c r="F618" s="8"/>
      <c r="G618" s="10">
        <v>133</v>
      </c>
      <c r="H618" s="10" t="str">
        <f>VLOOKUP(G618,'PUB 21'!$A$1:$B$29,2,0)</f>
        <v>DEPOSITOS DE TERCEROS</v>
      </c>
      <c r="I618"/>
      <c r="J618" s="4"/>
      <c r="K618">
        <v>14</v>
      </c>
      <c r="L618" s="4" t="s">
        <v>546</v>
      </c>
      <c r="M618" s="27" t="str">
        <f t="shared" si="93"/>
        <v>2-1-0-13-30-14</v>
      </c>
      <c r="N618" s="27" t="str">
        <f t="shared" si="94"/>
        <v>SUMEP</v>
      </c>
      <c r="O618" s="4">
        <f t="shared" si="105"/>
        <v>2</v>
      </c>
      <c r="P618" s="4" t="s">
        <v>595</v>
      </c>
      <c r="Q618" s="4" t="str">
        <f t="shared" si="122"/>
        <v>2-1-0-13-30-14-002</v>
      </c>
      <c r="R618" s="4" t="str">
        <f t="shared" si="104"/>
        <v>ASOCI-JUB SUMEP APORTE TRABAJADOR JUBILADOS</v>
      </c>
    </row>
    <row r="619" spans="1:18" x14ac:dyDescent="0.2">
      <c r="A619" s="1">
        <v>2</v>
      </c>
      <c r="B619" s="6" t="str">
        <f>VLOOKUP(A619,'ACTIVOS CODIGO'!A:B,2,0)</f>
        <v>PASIVO</v>
      </c>
      <c r="C619" s="2">
        <v>1</v>
      </c>
      <c r="D619" s="7" t="str">
        <f>VLOOKUP(C619,'ACTIVOS CODIGO'!H:I,2,0)</f>
        <v>PASIVO DEL TESORO = PASIVO CORRIENTE</v>
      </c>
      <c r="E619" s="3"/>
      <c r="F619" s="8"/>
      <c r="G619" s="10">
        <v>133</v>
      </c>
      <c r="H619" s="10" t="str">
        <f>VLOOKUP(G619,'PUB 21'!$A$1:$B$29,2,0)</f>
        <v>DEPOSITOS DE TERCEROS</v>
      </c>
      <c r="I619"/>
      <c r="J619" s="4"/>
      <c r="K619">
        <v>15</v>
      </c>
      <c r="L619" s="4" t="s">
        <v>547</v>
      </c>
      <c r="M619" s="27" t="str">
        <f t="shared" si="93"/>
        <v>2-1-0-13-30-15</v>
      </c>
      <c r="N619" s="27" t="str">
        <f t="shared" si="94"/>
        <v>OTROS DESCUENTOS</v>
      </c>
      <c r="O619" s="4">
        <f t="shared" si="105"/>
        <v>0</v>
      </c>
      <c r="Q619" s="4" t="str">
        <f t="shared" si="122"/>
        <v>2-1-0-13-30-15-000</v>
      </c>
      <c r="R619" s="4" t="str">
        <f t="shared" si="104"/>
        <v>OTROS DESCUENTOS</v>
      </c>
    </row>
    <row r="620" spans="1:18" x14ac:dyDescent="0.2">
      <c r="A620" s="1">
        <v>2</v>
      </c>
      <c r="B620" s="6" t="str">
        <f>VLOOKUP(A620,'ACTIVOS CODIGO'!A:B,2,0)</f>
        <v>PASIVO</v>
      </c>
      <c r="C620" s="2">
        <v>1</v>
      </c>
      <c r="D620" s="7" t="str">
        <f>VLOOKUP(C620,'ACTIVOS CODIGO'!H:I,2,0)</f>
        <v>PASIVO DEL TESORO = PASIVO CORRIENTE</v>
      </c>
      <c r="E620" s="3"/>
      <c r="F620" s="8"/>
      <c r="G620" s="10">
        <v>133</v>
      </c>
      <c r="H620" s="10" t="str">
        <f>VLOOKUP(G620,'PUB 21'!$A$1:$B$29,2,0)</f>
        <v>DEPOSITOS DE TERCEROS</v>
      </c>
      <c r="I620"/>
      <c r="J620" s="4"/>
      <c r="K620">
        <v>15</v>
      </c>
      <c r="L620" s="4" t="s">
        <v>547</v>
      </c>
      <c r="M620" s="27" t="str">
        <f t="shared" si="93"/>
        <v>2-1-0-13-30-15</v>
      </c>
      <c r="N620" s="27" t="str">
        <f t="shared" si="94"/>
        <v>OTROS DESCUENTOS</v>
      </c>
      <c r="O620" s="4">
        <f t="shared" si="105"/>
        <v>1</v>
      </c>
      <c r="P620" s="4" t="s">
        <v>596</v>
      </c>
      <c r="Q620" s="4" t="str">
        <f t="shared" si="122"/>
        <v>2-1-0-13-30-15-001</v>
      </c>
      <c r="R620" s="4" t="str">
        <f t="shared" si="104"/>
        <v>DCTO DIAS DE REPOSOS EXTEMP. EMPLEADOS</v>
      </c>
    </row>
    <row r="621" spans="1:18" x14ac:dyDescent="0.2">
      <c r="A621" s="1">
        <v>2</v>
      </c>
      <c r="B621" s="6" t="str">
        <f>VLOOKUP(A621,'ACTIVOS CODIGO'!A:B,2,0)</f>
        <v>PASIVO</v>
      </c>
      <c r="C621" s="2">
        <v>1</v>
      </c>
      <c r="D621" s="7" t="str">
        <f>VLOOKUP(C621,'ACTIVOS CODIGO'!H:I,2,0)</f>
        <v>PASIVO DEL TESORO = PASIVO CORRIENTE</v>
      </c>
      <c r="E621" s="3"/>
      <c r="F621" s="8"/>
      <c r="G621" s="10">
        <v>133</v>
      </c>
      <c r="H621" s="10" t="str">
        <f>VLOOKUP(G621,'PUB 21'!$A$1:$B$29,2,0)</f>
        <v>DEPOSITOS DE TERCEROS</v>
      </c>
      <c r="I621"/>
      <c r="J621" s="4"/>
      <c r="K621">
        <v>15</v>
      </c>
      <c r="L621" s="4" t="s">
        <v>547</v>
      </c>
      <c r="M621" s="27" t="str">
        <f t="shared" si="93"/>
        <v>2-1-0-13-30-15</v>
      </c>
      <c r="N621" s="27" t="str">
        <f t="shared" si="94"/>
        <v>OTROS DESCUENTOS</v>
      </c>
      <c r="O621" s="4">
        <f t="shared" si="105"/>
        <v>2</v>
      </c>
      <c r="P621" s="4" t="s">
        <v>597</v>
      </c>
      <c r="Q621" s="4" t="str">
        <f t="shared" si="122"/>
        <v>2-1-0-13-30-15-002</v>
      </c>
      <c r="R621" s="4" t="str">
        <f t="shared" si="104"/>
        <v>INASIST. INJUSTIFICADA EMP. EMPLEADOS</v>
      </c>
    </row>
    <row r="622" spans="1:18" x14ac:dyDescent="0.2">
      <c r="A622" s="1">
        <v>2</v>
      </c>
      <c r="B622" s="6" t="str">
        <f>VLOOKUP(A622,'ACTIVOS CODIGO'!A:B,2,0)</f>
        <v>PASIVO</v>
      </c>
      <c r="C622" s="2">
        <v>1</v>
      </c>
      <c r="D622" s="7" t="str">
        <f>VLOOKUP(C622,'ACTIVOS CODIGO'!H:I,2,0)</f>
        <v>PASIVO DEL TESORO = PASIVO CORRIENTE</v>
      </c>
      <c r="E622" s="3"/>
      <c r="F622" s="8"/>
      <c r="G622" s="10">
        <v>133</v>
      </c>
      <c r="H622" s="10" t="str">
        <f>VLOOKUP(G622,'PUB 21'!$A$1:$B$29,2,0)</f>
        <v>DEPOSITOS DE TERCEROS</v>
      </c>
      <c r="I622"/>
      <c r="J622" s="4"/>
      <c r="K622">
        <v>15</v>
      </c>
      <c r="L622" s="4" t="s">
        <v>547</v>
      </c>
      <c r="M622" s="27" t="str">
        <f t="shared" si="93"/>
        <v>2-1-0-13-30-15</v>
      </c>
      <c r="N622" s="27" t="str">
        <f t="shared" si="94"/>
        <v>OTROS DESCUENTOS</v>
      </c>
      <c r="O622" s="4">
        <f t="shared" si="105"/>
        <v>3</v>
      </c>
      <c r="P622" s="4" t="s">
        <v>598</v>
      </c>
      <c r="Q622" s="4" t="str">
        <f t="shared" si="122"/>
        <v>2-1-0-13-30-15-003</v>
      </c>
      <c r="R622" s="4" t="str">
        <f t="shared" si="104"/>
        <v>FERIA NAVIDEÃ‘A EMPLEADOS</v>
      </c>
    </row>
    <row r="623" spans="1:18" x14ac:dyDescent="0.2">
      <c r="A623" s="1">
        <v>2</v>
      </c>
      <c r="B623" s="6" t="str">
        <f>VLOOKUP(A623,'ACTIVOS CODIGO'!A:B,2,0)</f>
        <v>PASIVO</v>
      </c>
      <c r="C623" s="2">
        <v>1</v>
      </c>
      <c r="D623" s="7" t="str">
        <f>VLOOKUP(C623,'ACTIVOS CODIGO'!H:I,2,0)</f>
        <v>PASIVO DEL TESORO = PASIVO CORRIENTE</v>
      </c>
      <c r="E623" s="3"/>
      <c r="F623" s="8"/>
      <c r="G623" s="10">
        <v>133</v>
      </c>
      <c r="H623" s="10" t="str">
        <f>VLOOKUP(G623,'PUB 21'!$A$1:$B$29,2,0)</f>
        <v>DEPOSITOS DE TERCEROS</v>
      </c>
      <c r="I623"/>
      <c r="J623" s="4"/>
      <c r="K623">
        <v>15</v>
      </c>
      <c r="L623" s="4" t="s">
        <v>547</v>
      </c>
      <c r="M623" s="27" t="str">
        <f t="shared" si="93"/>
        <v>2-1-0-13-30-15</v>
      </c>
      <c r="N623" s="27" t="str">
        <f t="shared" si="94"/>
        <v>OTROS DESCUENTOS</v>
      </c>
      <c r="O623" s="4">
        <f t="shared" si="105"/>
        <v>4</v>
      </c>
      <c r="P623" s="4" t="s">
        <v>599</v>
      </c>
      <c r="Q623" s="4" t="str">
        <f t="shared" si="122"/>
        <v>2-1-0-13-30-15-004</v>
      </c>
      <c r="R623" s="4" t="str">
        <f t="shared" si="104"/>
        <v>ASISTENCIAS JUBILADOS EMPLEADOS</v>
      </c>
    </row>
    <row r="624" spans="1:18" x14ac:dyDescent="0.2">
      <c r="A624" s="1">
        <v>2</v>
      </c>
      <c r="B624" s="6" t="str">
        <f>VLOOKUP(A624,'ACTIVOS CODIGO'!A:B,2,0)</f>
        <v>PASIVO</v>
      </c>
      <c r="C624" s="2">
        <v>1</v>
      </c>
      <c r="D624" s="7" t="str">
        <f>VLOOKUP(C624,'ACTIVOS CODIGO'!H:I,2,0)</f>
        <v>PASIVO DEL TESORO = PASIVO CORRIENTE</v>
      </c>
      <c r="E624" s="3"/>
      <c r="F624" s="8"/>
      <c r="G624" s="10">
        <v>133</v>
      </c>
      <c r="H624" s="10" t="str">
        <f>VLOOKUP(G624,'PUB 21'!$A$1:$B$29,2,0)</f>
        <v>DEPOSITOS DE TERCEROS</v>
      </c>
      <c r="I624"/>
      <c r="J624" s="4"/>
      <c r="K624">
        <v>15</v>
      </c>
      <c r="L624" s="4" t="s">
        <v>547</v>
      </c>
      <c r="M624" s="27" t="str">
        <f t="shared" si="93"/>
        <v>2-1-0-13-30-15</v>
      </c>
      <c r="N624" s="27" t="str">
        <f t="shared" si="94"/>
        <v>OTROS DESCUENTOS</v>
      </c>
      <c r="O624" s="4">
        <f t="shared" si="105"/>
        <v>5</v>
      </c>
      <c r="P624" s="4" t="s">
        <v>600</v>
      </c>
      <c r="Q624" s="4" t="str">
        <f t="shared" si="122"/>
        <v>2-1-0-13-30-15-005</v>
      </c>
      <c r="R624" s="4" t="str">
        <f t="shared" si="104"/>
        <v>REIN. AUMENTO DE SUELDO EMPLEADOS</v>
      </c>
    </row>
    <row r="625" spans="1:18" x14ac:dyDescent="0.2">
      <c r="A625" s="1">
        <v>2</v>
      </c>
      <c r="B625" s="6" t="str">
        <f>VLOOKUP(A625,'ACTIVOS CODIGO'!A:B,2,0)</f>
        <v>PASIVO</v>
      </c>
      <c r="C625" s="2">
        <v>1</v>
      </c>
      <c r="D625" s="7" t="str">
        <f>VLOOKUP(C625,'ACTIVOS CODIGO'!H:I,2,0)</f>
        <v>PASIVO DEL TESORO = PASIVO CORRIENTE</v>
      </c>
      <c r="E625" s="3"/>
      <c r="F625" s="8"/>
      <c r="G625" s="10">
        <v>133</v>
      </c>
      <c r="H625" s="10" t="str">
        <f>VLOOKUP(G625,'PUB 21'!$A$1:$B$29,2,0)</f>
        <v>DEPOSITOS DE TERCEROS</v>
      </c>
      <c r="I625"/>
      <c r="J625" s="4"/>
      <c r="K625">
        <v>15</v>
      </c>
      <c r="L625" s="4" t="s">
        <v>547</v>
      </c>
      <c r="M625" s="27" t="str">
        <f t="shared" si="93"/>
        <v>2-1-0-13-30-15</v>
      </c>
      <c r="N625" s="27" t="str">
        <f t="shared" si="94"/>
        <v>OTROS DESCUENTOS</v>
      </c>
      <c r="O625" s="4">
        <f t="shared" si="105"/>
        <v>6</v>
      </c>
      <c r="P625" s="4" t="s">
        <v>601</v>
      </c>
      <c r="Q625" s="4" t="str">
        <f t="shared" si="122"/>
        <v>2-1-0-13-30-15-006</v>
      </c>
      <c r="R625" s="4" t="str">
        <f t="shared" si="104"/>
        <v>AGUINALDO DEL 2002 OMITIDO EMPLEADOS</v>
      </c>
    </row>
    <row r="626" spans="1:18" x14ac:dyDescent="0.2">
      <c r="A626" s="1">
        <v>2</v>
      </c>
      <c r="B626" s="6" t="str">
        <f>VLOOKUP(A626,'ACTIVOS CODIGO'!A:B,2,0)</f>
        <v>PASIVO</v>
      </c>
      <c r="C626" s="2">
        <v>1</v>
      </c>
      <c r="D626" s="7" t="str">
        <f>VLOOKUP(C626,'ACTIVOS CODIGO'!H:I,2,0)</f>
        <v>PASIVO DEL TESORO = PASIVO CORRIENTE</v>
      </c>
      <c r="E626" s="3"/>
      <c r="F626" s="8"/>
      <c r="G626" s="10">
        <v>133</v>
      </c>
      <c r="H626" s="10" t="str">
        <f>VLOOKUP(G626,'PUB 21'!$A$1:$B$29,2,0)</f>
        <v>DEPOSITOS DE TERCEROS</v>
      </c>
      <c r="I626"/>
      <c r="J626" s="4"/>
      <c r="K626">
        <v>15</v>
      </c>
      <c r="L626" s="4" t="s">
        <v>547</v>
      </c>
      <c r="M626" s="27" t="str">
        <f t="shared" si="93"/>
        <v>2-1-0-13-30-15</v>
      </c>
      <c r="N626" s="27" t="str">
        <f t="shared" si="94"/>
        <v>OTROS DESCUENTOS</v>
      </c>
      <c r="O626" s="4">
        <f t="shared" si="105"/>
        <v>7</v>
      </c>
      <c r="P626" s="4" t="s">
        <v>602</v>
      </c>
      <c r="Q626" s="4" t="str">
        <f t="shared" si="122"/>
        <v>2-1-0-13-30-15-007</v>
      </c>
      <c r="R626" s="4" t="str">
        <f t="shared" si="104"/>
        <v>DIF. SALARIO MIN. AGOSTO 04 EMPLEADOS</v>
      </c>
    </row>
    <row r="627" spans="1:18" x14ac:dyDescent="0.2">
      <c r="A627" s="1">
        <v>2</v>
      </c>
      <c r="B627" s="6" t="str">
        <f>VLOOKUP(A627,'ACTIVOS CODIGO'!A:B,2,0)</f>
        <v>PASIVO</v>
      </c>
      <c r="C627" s="2">
        <v>1</v>
      </c>
      <c r="D627" s="7" t="str">
        <f>VLOOKUP(C627,'ACTIVOS CODIGO'!H:I,2,0)</f>
        <v>PASIVO DEL TESORO = PASIVO CORRIENTE</v>
      </c>
      <c r="E627" s="3"/>
      <c r="F627" s="8"/>
      <c r="G627" s="10">
        <v>133</v>
      </c>
      <c r="H627" s="10" t="str">
        <f>VLOOKUP(G627,'PUB 21'!$A$1:$B$29,2,0)</f>
        <v>DEPOSITOS DE TERCEROS</v>
      </c>
      <c r="I627"/>
      <c r="J627" s="4"/>
      <c r="K627">
        <v>15</v>
      </c>
      <c r="L627" s="4" t="s">
        <v>547</v>
      </c>
      <c r="M627" s="27" t="str">
        <f t="shared" si="93"/>
        <v>2-1-0-13-30-15</v>
      </c>
      <c r="N627" s="27" t="str">
        <f t="shared" si="94"/>
        <v>OTROS DESCUENTOS</v>
      </c>
      <c r="O627" s="4">
        <f t="shared" si="105"/>
        <v>8</v>
      </c>
      <c r="P627" s="4" t="s">
        <v>603</v>
      </c>
      <c r="Q627" s="4" t="str">
        <f t="shared" si="122"/>
        <v>2-1-0-13-30-15-008</v>
      </c>
      <c r="R627" s="4" t="str">
        <f t="shared" si="104"/>
        <v>PLAN AMD. SERV. FUNERARIOS EMPLEADOS</v>
      </c>
    </row>
    <row r="628" spans="1:18" x14ac:dyDescent="0.2">
      <c r="A628" s="1">
        <v>2</v>
      </c>
      <c r="B628" s="6" t="str">
        <f>VLOOKUP(A628,'ACTIVOS CODIGO'!A:B,2,0)</f>
        <v>PASIVO</v>
      </c>
      <c r="C628" s="2">
        <v>1</v>
      </c>
      <c r="D628" s="7" t="str">
        <f>VLOOKUP(C628,'ACTIVOS CODIGO'!H:I,2,0)</f>
        <v>PASIVO DEL TESORO = PASIVO CORRIENTE</v>
      </c>
      <c r="E628" s="3"/>
      <c r="F628" s="8"/>
      <c r="G628" s="10">
        <v>133</v>
      </c>
      <c r="H628" s="10" t="str">
        <f>VLOOKUP(G628,'PUB 21'!$A$1:$B$29,2,0)</f>
        <v>DEPOSITOS DE TERCEROS</v>
      </c>
      <c r="I628"/>
      <c r="J628" s="4"/>
      <c r="K628">
        <v>15</v>
      </c>
      <c r="L628" s="4" t="s">
        <v>547</v>
      </c>
      <c r="M628" s="27" t="str">
        <f t="shared" si="93"/>
        <v>2-1-0-13-30-15</v>
      </c>
      <c r="N628" s="27" t="str">
        <f t="shared" si="94"/>
        <v>OTROS DESCUENTOS</v>
      </c>
      <c r="O628" s="4">
        <f t="shared" si="105"/>
        <v>9</v>
      </c>
      <c r="P628" s="4" t="s">
        <v>604</v>
      </c>
      <c r="Q628" s="4" t="str">
        <f t="shared" si="122"/>
        <v>2-1-0-13-30-15-009</v>
      </c>
      <c r="R628" s="4" t="str">
        <f t="shared" si="104"/>
        <v>CESTA DE NAVIDAD (JAMONES) EMPLEADOS</v>
      </c>
    </row>
    <row r="629" spans="1:18" x14ac:dyDescent="0.2">
      <c r="A629" s="1">
        <v>2</v>
      </c>
      <c r="B629" s="6" t="str">
        <f>VLOOKUP(A629,'ACTIVOS CODIGO'!A:B,2,0)</f>
        <v>PASIVO</v>
      </c>
      <c r="C629" s="2">
        <v>1</v>
      </c>
      <c r="D629" s="7" t="str">
        <f>VLOOKUP(C629,'ACTIVOS CODIGO'!H:I,2,0)</f>
        <v>PASIVO DEL TESORO = PASIVO CORRIENTE</v>
      </c>
      <c r="E629" s="3"/>
      <c r="F629" s="8"/>
      <c r="G629" s="10">
        <v>133</v>
      </c>
      <c r="H629" s="10" t="str">
        <f>VLOOKUP(G629,'PUB 21'!$A$1:$B$29,2,0)</f>
        <v>DEPOSITOS DE TERCEROS</v>
      </c>
      <c r="I629"/>
      <c r="J629" s="4"/>
      <c r="K629">
        <v>15</v>
      </c>
      <c r="L629" s="4" t="s">
        <v>547</v>
      </c>
      <c r="M629" s="27" t="str">
        <f t="shared" si="93"/>
        <v>2-1-0-13-30-15</v>
      </c>
      <c r="N629" s="27" t="str">
        <f t="shared" si="94"/>
        <v>OTROS DESCUENTOS</v>
      </c>
      <c r="O629" s="4">
        <f t="shared" si="105"/>
        <v>10</v>
      </c>
      <c r="P629" s="4" t="s">
        <v>605</v>
      </c>
      <c r="Q629" s="4" t="str">
        <f t="shared" si="122"/>
        <v>2-1-0-13-30-15-010</v>
      </c>
      <c r="R629" s="4" t="str">
        <f t="shared" si="104"/>
        <v>BONO ESCOLAR 2003 EMPLEADOS</v>
      </c>
    </row>
    <row r="630" spans="1:18" x14ac:dyDescent="0.2">
      <c r="A630" s="1">
        <v>2</v>
      </c>
      <c r="B630" s="6" t="str">
        <f>VLOOKUP(A630,'ACTIVOS CODIGO'!A:B,2,0)</f>
        <v>PASIVO</v>
      </c>
      <c r="C630" s="2">
        <v>1</v>
      </c>
      <c r="D630" s="7" t="str">
        <f>VLOOKUP(C630,'ACTIVOS CODIGO'!H:I,2,0)</f>
        <v>PASIVO DEL TESORO = PASIVO CORRIENTE</v>
      </c>
      <c r="E630" s="3"/>
      <c r="F630" s="8"/>
      <c r="G630" s="10">
        <v>133</v>
      </c>
      <c r="H630" s="10" t="str">
        <f>VLOOKUP(G630,'PUB 21'!$A$1:$B$29,2,0)</f>
        <v>DEPOSITOS DE TERCEROS</v>
      </c>
      <c r="I630"/>
      <c r="J630" s="4"/>
      <c r="K630">
        <v>15</v>
      </c>
      <c r="L630" s="4" t="s">
        <v>547</v>
      </c>
      <c r="M630" s="27" t="str">
        <f t="shared" si="93"/>
        <v>2-1-0-13-30-15</v>
      </c>
      <c r="N630" s="27" t="str">
        <f t="shared" si="94"/>
        <v>OTROS DESCUENTOS</v>
      </c>
      <c r="O630" s="4">
        <f t="shared" si="105"/>
        <v>11</v>
      </c>
      <c r="P630" s="4" t="s">
        <v>606</v>
      </c>
      <c r="Q630" s="4" t="str">
        <f t="shared" si="122"/>
        <v>2-1-0-13-30-15-011</v>
      </c>
      <c r="R630" s="4" t="str">
        <f t="shared" si="104"/>
        <v>FONDO NAVIDEÑO EMPLEADOS</v>
      </c>
    </row>
    <row r="631" spans="1:18" x14ac:dyDescent="0.2">
      <c r="A631" s="1">
        <v>2</v>
      </c>
      <c r="B631" s="6" t="str">
        <f>VLOOKUP(A631,'ACTIVOS CODIGO'!A:B,2,0)</f>
        <v>PASIVO</v>
      </c>
      <c r="C631" s="2">
        <v>1</v>
      </c>
      <c r="D631" s="7" t="str">
        <f>VLOOKUP(C631,'ACTIVOS CODIGO'!H:I,2,0)</f>
        <v>PASIVO DEL TESORO = PASIVO CORRIENTE</v>
      </c>
      <c r="E631" s="3"/>
      <c r="F631" s="8"/>
      <c r="G631" s="10">
        <v>133</v>
      </c>
      <c r="H631" s="10" t="str">
        <f>VLOOKUP(G631,'PUB 21'!$A$1:$B$29,2,0)</f>
        <v>DEPOSITOS DE TERCEROS</v>
      </c>
      <c r="I631"/>
      <c r="J631" s="4"/>
      <c r="K631">
        <v>15</v>
      </c>
      <c r="L631" s="4" t="s">
        <v>547</v>
      </c>
      <c r="M631" s="27" t="str">
        <f t="shared" si="93"/>
        <v>2-1-0-13-30-15</v>
      </c>
      <c r="N631" s="27" t="str">
        <f t="shared" si="94"/>
        <v>OTROS DESCUENTOS</v>
      </c>
      <c r="O631" s="4">
        <f t="shared" si="105"/>
        <v>12</v>
      </c>
      <c r="P631" s="4" t="s">
        <v>607</v>
      </c>
      <c r="Q631" s="4" t="str">
        <f t="shared" si="122"/>
        <v>2-1-0-13-30-15-012</v>
      </c>
      <c r="R631" s="4" t="str">
        <f t="shared" si="104"/>
        <v>RETROACT. EMPL. EMPLEADOS</v>
      </c>
    </row>
    <row r="632" spans="1:18" x14ac:dyDescent="0.2">
      <c r="A632" s="1">
        <v>2</v>
      </c>
      <c r="B632" s="6" t="str">
        <f>VLOOKUP(A632,'ACTIVOS CODIGO'!A:B,2,0)</f>
        <v>PASIVO</v>
      </c>
      <c r="C632" s="2">
        <v>1</v>
      </c>
      <c r="D632" s="7" t="str">
        <f>VLOOKUP(C632,'ACTIVOS CODIGO'!H:I,2,0)</f>
        <v>PASIVO DEL TESORO = PASIVO CORRIENTE</v>
      </c>
      <c r="E632" s="3"/>
      <c r="F632" s="8"/>
      <c r="G632" s="10">
        <v>133</v>
      </c>
      <c r="H632" s="10" t="str">
        <f>VLOOKUP(G632,'PUB 21'!$A$1:$B$29,2,0)</f>
        <v>DEPOSITOS DE TERCEROS</v>
      </c>
      <c r="I632"/>
      <c r="J632" s="4"/>
      <c r="K632">
        <v>15</v>
      </c>
      <c r="L632" s="4" t="s">
        <v>547</v>
      </c>
      <c r="M632" s="27" t="str">
        <f t="shared" si="93"/>
        <v>2-1-0-13-30-15</v>
      </c>
      <c r="N632" s="27" t="str">
        <f t="shared" si="94"/>
        <v>OTROS DESCUENTOS</v>
      </c>
      <c r="O632" s="4">
        <f t="shared" si="105"/>
        <v>13</v>
      </c>
      <c r="P632" s="4" t="s">
        <v>608</v>
      </c>
      <c r="Q632" s="4" t="str">
        <f t="shared" si="122"/>
        <v>2-1-0-13-30-15-013</v>
      </c>
      <c r="R632" s="4" t="str">
        <f t="shared" si="104"/>
        <v>DCTOS. COMBOS ALIMENTARIOS EMPLEADOS</v>
      </c>
    </row>
    <row r="633" spans="1:18" x14ac:dyDescent="0.2">
      <c r="A633" s="1">
        <v>2</v>
      </c>
      <c r="B633" s="6" t="str">
        <f>VLOOKUP(A633,'ACTIVOS CODIGO'!A:B,2,0)</f>
        <v>PASIVO</v>
      </c>
      <c r="C633" s="2">
        <v>1</v>
      </c>
      <c r="D633" s="7" t="str">
        <f>VLOOKUP(C633,'ACTIVOS CODIGO'!H:I,2,0)</f>
        <v>PASIVO DEL TESORO = PASIVO CORRIENTE</v>
      </c>
      <c r="E633" s="3"/>
      <c r="F633" s="8"/>
      <c r="G633" s="10">
        <v>133</v>
      </c>
      <c r="H633" s="10" t="str">
        <f>VLOOKUP(G633,'PUB 21'!$A$1:$B$29,2,0)</f>
        <v>DEPOSITOS DE TERCEROS</v>
      </c>
      <c r="I633"/>
      <c r="J633" s="4"/>
      <c r="K633">
        <v>15</v>
      </c>
      <c r="L633" s="4" t="s">
        <v>547</v>
      </c>
      <c r="M633" s="27" t="str">
        <f t="shared" si="93"/>
        <v>2-1-0-13-30-15</v>
      </c>
      <c r="N633" s="27" t="str">
        <f t="shared" si="94"/>
        <v>OTROS DESCUENTOS</v>
      </c>
      <c r="O633" s="4">
        <f t="shared" ref="O633:O696" si="129">IF(P633="",0,IF(M632=M633,IF(O632="",0,O632)+1,""))</f>
        <v>14</v>
      </c>
      <c r="P633" s="4" t="s">
        <v>609</v>
      </c>
      <c r="Q633" s="4" t="str">
        <f t="shared" si="122"/>
        <v>2-1-0-13-30-15-014</v>
      </c>
      <c r="R633" s="4" t="str">
        <f t="shared" si="104"/>
        <v>RETROACTIVO PARO FORZOSO EMP. EMPLEADOS</v>
      </c>
    </row>
    <row r="634" spans="1:18" x14ac:dyDescent="0.2">
      <c r="A634" s="1">
        <v>2</v>
      </c>
      <c r="B634" s="6" t="str">
        <f>VLOOKUP(A634,'ACTIVOS CODIGO'!A:B,2,0)</f>
        <v>PASIVO</v>
      </c>
      <c r="C634" s="2">
        <v>1</v>
      </c>
      <c r="D634" s="7" t="str">
        <f>VLOOKUP(C634,'ACTIVOS CODIGO'!H:I,2,0)</f>
        <v>PASIVO DEL TESORO = PASIVO CORRIENTE</v>
      </c>
      <c r="E634" s="3"/>
      <c r="F634" s="8"/>
      <c r="G634" s="10">
        <v>133</v>
      </c>
      <c r="H634" s="10" t="str">
        <f>VLOOKUP(G634,'PUB 21'!$A$1:$B$29,2,0)</f>
        <v>DEPOSITOS DE TERCEROS</v>
      </c>
      <c r="I634"/>
      <c r="J634" s="4"/>
      <c r="K634">
        <v>15</v>
      </c>
      <c r="L634" s="4" t="s">
        <v>547</v>
      </c>
      <c r="M634" s="27" t="str">
        <f t="shared" si="93"/>
        <v>2-1-0-13-30-15</v>
      </c>
      <c r="N634" s="27" t="str">
        <f t="shared" si="94"/>
        <v>OTROS DESCUENTOS</v>
      </c>
      <c r="O634" s="4">
        <f t="shared" si="129"/>
        <v>15</v>
      </c>
      <c r="P634" s="4" t="s">
        <v>610</v>
      </c>
      <c r="Q634" s="4" t="str">
        <f t="shared" si="122"/>
        <v>2-1-0-13-30-15-015</v>
      </c>
      <c r="R634" s="4" t="str">
        <f t="shared" si="104"/>
        <v>BANCO MERCANTIL DIR. GRAL. EMPLEADOS</v>
      </c>
    </row>
    <row r="635" spans="1:18" x14ac:dyDescent="0.2">
      <c r="A635" s="1">
        <v>2</v>
      </c>
      <c r="B635" s="6" t="str">
        <f>VLOOKUP(A635,'ACTIVOS CODIGO'!A:B,2,0)</f>
        <v>PASIVO</v>
      </c>
      <c r="C635" s="2">
        <v>1</v>
      </c>
      <c r="D635" s="7" t="str">
        <f>VLOOKUP(C635,'ACTIVOS CODIGO'!H:I,2,0)</f>
        <v>PASIVO DEL TESORO = PASIVO CORRIENTE</v>
      </c>
      <c r="E635" s="3"/>
      <c r="F635" s="8"/>
      <c r="G635" s="10">
        <v>133</v>
      </c>
      <c r="H635" s="10" t="str">
        <f>VLOOKUP(G635,'PUB 21'!$A$1:$B$29,2,0)</f>
        <v>DEPOSITOS DE TERCEROS</v>
      </c>
      <c r="I635"/>
      <c r="J635" s="4"/>
      <c r="K635">
        <v>15</v>
      </c>
      <c r="L635" s="4" t="s">
        <v>547</v>
      </c>
      <c r="M635" s="27" t="str">
        <f t="shared" si="93"/>
        <v>2-1-0-13-30-15</v>
      </c>
      <c r="N635" s="27" t="str">
        <f t="shared" si="94"/>
        <v>OTROS DESCUENTOS</v>
      </c>
      <c r="O635" s="4">
        <f t="shared" si="129"/>
        <v>16</v>
      </c>
      <c r="P635" s="4" t="s">
        <v>611</v>
      </c>
      <c r="Q635" s="4" t="str">
        <f t="shared" si="122"/>
        <v>2-1-0-13-30-15-016</v>
      </c>
      <c r="R635" s="4" t="str">
        <f t="shared" ref="R635:R698" si="130">IF(P635="",IF(L635="",IF(J635="",IF(H635="",IF(F635="",IF(D635="",B635,D635),F635),H635),J635),L635),P635)</f>
        <v>RETROACTIVO FONDO AHORRO EMPLEADOS</v>
      </c>
    </row>
    <row r="636" spans="1:18" x14ac:dyDescent="0.2">
      <c r="A636" s="1">
        <v>2</v>
      </c>
      <c r="B636" s="6" t="str">
        <f>VLOOKUP(A636,'ACTIVOS CODIGO'!A:B,2,0)</f>
        <v>PASIVO</v>
      </c>
      <c r="C636" s="2">
        <v>1</v>
      </c>
      <c r="D636" s="7" t="str">
        <f>VLOOKUP(C636,'ACTIVOS CODIGO'!H:I,2,0)</f>
        <v>PASIVO DEL TESORO = PASIVO CORRIENTE</v>
      </c>
      <c r="E636" s="3"/>
      <c r="F636" s="8"/>
      <c r="G636" s="10">
        <v>133</v>
      </c>
      <c r="H636" s="10" t="str">
        <f>VLOOKUP(G636,'PUB 21'!$A$1:$B$29,2,0)</f>
        <v>DEPOSITOS DE TERCEROS</v>
      </c>
      <c r="I636"/>
      <c r="J636" s="4"/>
      <c r="K636">
        <v>15</v>
      </c>
      <c r="L636" s="4" t="s">
        <v>547</v>
      </c>
      <c r="M636" s="27" t="str">
        <f t="shared" ref="M636:M699" si="131">CONCATENATE(TEXT(A636,"0"),"-",TEXT(C636,"0"),"-",TEXT(E636,"0"),"-",TEXT(LEFT(G636,2),"00"),"-",TEXT(RIGHT(G636,1),"0"),TEXT(I636,"0"),"-",TEXT(K636,"00"))</f>
        <v>2-1-0-13-30-15</v>
      </c>
      <c r="N636" s="27" t="str">
        <f t="shared" ref="N636:N699" si="132">IF(L636="",IF(J636="",IF(H636="",IF(F636="",IF(D636="",B636,D636),F636),H636),J636),L636)</f>
        <v>OTROS DESCUENTOS</v>
      </c>
      <c r="O636" s="4">
        <f t="shared" si="129"/>
        <v>17</v>
      </c>
      <c r="P636" s="4" t="s">
        <v>612</v>
      </c>
      <c r="Q636" s="4" t="str">
        <f t="shared" si="122"/>
        <v>2-1-0-13-30-15-017</v>
      </c>
      <c r="R636" s="4" t="str">
        <f t="shared" si="130"/>
        <v>FARMACIAS EMPLEADOS</v>
      </c>
    </row>
    <row r="637" spans="1:18" x14ac:dyDescent="0.2">
      <c r="A637" s="1">
        <v>2</v>
      </c>
      <c r="B637" s="6" t="str">
        <f>VLOOKUP(A637,'ACTIVOS CODIGO'!A:B,2,0)</f>
        <v>PASIVO</v>
      </c>
      <c r="C637" s="2">
        <v>1</v>
      </c>
      <c r="D637" s="7" t="str">
        <f>VLOOKUP(C637,'ACTIVOS CODIGO'!H:I,2,0)</f>
        <v>PASIVO DEL TESORO = PASIVO CORRIENTE</v>
      </c>
      <c r="E637" s="3"/>
      <c r="F637" s="8"/>
      <c r="G637" s="10">
        <v>133</v>
      </c>
      <c r="H637" s="10" t="str">
        <f>VLOOKUP(G637,'PUB 21'!$A$1:$B$29,2,0)</f>
        <v>DEPOSITOS DE TERCEROS</v>
      </c>
      <c r="I637"/>
      <c r="J637" s="4"/>
      <c r="K637">
        <v>15</v>
      </c>
      <c r="L637" s="4" t="s">
        <v>547</v>
      </c>
      <c r="M637" s="27" t="str">
        <f t="shared" si="131"/>
        <v>2-1-0-13-30-15</v>
      </c>
      <c r="N637" s="27" t="str">
        <f t="shared" si="132"/>
        <v>OTROS DESCUENTOS</v>
      </c>
      <c r="O637" s="4">
        <f t="shared" si="129"/>
        <v>18</v>
      </c>
      <c r="P637" s="4" t="s">
        <v>613</v>
      </c>
      <c r="Q637" s="4" t="str">
        <f t="shared" si="122"/>
        <v>2-1-0-13-30-15-018</v>
      </c>
      <c r="R637" s="4" t="str">
        <f t="shared" si="130"/>
        <v>RETROACT. PENSION ALIMENT. PERS. EMPLEADOS</v>
      </c>
    </row>
    <row r="638" spans="1:18" x14ac:dyDescent="0.2">
      <c r="A638" s="1">
        <v>2</v>
      </c>
      <c r="B638" s="6" t="str">
        <f>VLOOKUP(A638,'ACTIVOS CODIGO'!A:B,2,0)</f>
        <v>PASIVO</v>
      </c>
      <c r="C638" s="2">
        <v>1</v>
      </c>
      <c r="D638" s="7" t="str">
        <f>VLOOKUP(C638,'ACTIVOS CODIGO'!H:I,2,0)</f>
        <v>PASIVO DEL TESORO = PASIVO CORRIENTE</v>
      </c>
      <c r="E638" s="3"/>
      <c r="F638" s="8"/>
      <c r="G638" s="10">
        <v>133</v>
      </c>
      <c r="H638" s="10" t="str">
        <f>VLOOKUP(G638,'PUB 21'!$A$1:$B$29,2,0)</f>
        <v>DEPOSITOS DE TERCEROS</v>
      </c>
      <c r="I638"/>
      <c r="J638" s="4"/>
      <c r="K638">
        <v>15</v>
      </c>
      <c r="L638" s="4" t="s">
        <v>547</v>
      </c>
      <c r="M638" s="27" t="str">
        <f t="shared" si="131"/>
        <v>2-1-0-13-30-15</v>
      </c>
      <c r="N638" s="27" t="str">
        <f t="shared" si="132"/>
        <v>OTROS DESCUENTOS</v>
      </c>
      <c r="O638" s="4">
        <f t="shared" si="129"/>
        <v>19</v>
      </c>
      <c r="P638" s="4" t="s">
        <v>614</v>
      </c>
      <c r="Q638" s="4" t="str">
        <f t="shared" si="122"/>
        <v>2-1-0-13-30-15-019</v>
      </c>
      <c r="R638" s="4" t="str">
        <f t="shared" si="130"/>
        <v>C.A LINEA CREDITO ESCOLAR EMPLEADOS</v>
      </c>
    </row>
    <row r="639" spans="1:18" x14ac:dyDescent="0.2">
      <c r="A639" s="1">
        <v>2</v>
      </c>
      <c r="B639" s="6" t="str">
        <f>VLOOKUP(A639,'ACTIVOS CODIGO'!A:B,2,0)</f>
        <v>PASIVO</v>
      </c>
      <c r="C639" s="2">
        <v>1</v>
      </c>
      <c r="D639" s="7" t="str">
        <f>VLOOKUP(C639,'ACTIVOS CODIGO'!H:I,2,0)</f>
        <v>PASIVO DEL TESORO = PASIVO CORRIENTE</v>
      </c>
      <c r="E639" s="3"/>
      <c r="F639" s="8"/>
      <c r="G639" s="10">
        <v>133</v>
      </c>
      <c r="H639" s="10" t="str">
        <f>VLOOKUP(G639,'PUB 21'!$A$1:$B$29,2,0)</f>
        <v>DEPOSITOS DE TERCEROS</v>
      </c>
      <c r="I639"/>
      <c r="J639" s="4"/>
      <c r="K639">
        <v>15</v>
      </c>
      <c r="L639" s="4" t="s">
        <v>547</v>
      </c>
      <c r="M639" s="27" t="str">
        <f t="shared" si="131"/>
        <v>2-1-0-13-30-15</v>
      </c>
      <c r="N639" s="27" t="str">
        <f t="shared" si="132"/>
        <v>OTROS DESCUENTOS</v>
      </c>
      <c r="O639" s="4">
        <f t="shared" si="129"/>
        <v>20</v>
      </c>
      <c r="P639" s="4" t="s">
        <v>615</v>
      </c>
      <c r="Q639" s="4" t="str">
        <f t="shared" si="122"/>
        <v>2-1-0-13-30-15-020</v>
      </c>
      <c r="R639" s="4" t="str">
        <f t="shared" si="130"/>
        <v>DEDUCCION PENSION ALIMENT. PERS. EMPLEADOS</v>
      </c>
    </row>
    <row r="640" spans="1:18" x14ac:dyDescent="0.2">
      <c r="A640" s="1">
        <v>2</v>
      </c>
      <c r="B640" s="6" t="str">
        <f>VLOOKUP(A640,'ACTIVOS CODIGO'!A:B,2,0)</f>
        <v>PASIVO</v>
      </c>
      <c r="C640" s="2">
        <v>1</v>
      </c>
      <c r="D640" s="7" t="str">
        <f>VLOOKUP(C640,'ACTIVOS CODIGO'!H:I,2,0)</f>
        <v>PASIVO DEL TESORO = PASIVO CORRIENTE</v>
      </c>
      <c r="E640" s="3"/>
      <c r="F640" s="8"/>
      <c r="G640" s="10">
        <v>133</v>
      </c>
      <c r="H640" s="10" t="str">
        <f>VLOOKUP(G640,'PUB 21'!$A$1:$B$29,2,0)</f>
        <v>DEPOSITOS DE TERCEROS</v>
      </c>
      <c r="I640"/>
      <c r="J640" s="4"/>
      <c r="K640">
        <v>15</v>
      </c>
      <c r="L640" s="4" t="s">
        <v>547</v>
      </c>
      <c r="M640" s="27" t="str">
        <f t="shared" si="131"/>
        <v>2-1-0-13-30-15</v>
      </c>
      <c r="N640" s="27" t="str">
        <f t="shared" si="132"/>
        <v>OTROS DESCUENTOS</v>
      </c>
      <c r="O640" s="4">
        <f t="shared" si="129"/>
        <v>21</v>
      </c>
      <c r="P640" s="4" t="s">
        <v>616</v>
      </c>
      <c r="Q640" s="4" t="str">
        <f t="shared" si="122"/>
        <v>2-1-0-13-30-15-021</v>
      </c>
      <c r="R640" s="4" t="str">
        <f t="shared" si="130"/>
        <v>DEDUCC. EFECT. EMPLEADOS</v>
      </c>
    </row>
    <row r="641" spans="1:18" x14ac:dyDescent="0.2">
      <c r="A641" s="1">
        <v>2</v>
      </c>
      <c r="B641" s="6" t="str">
        <f>VLOOKUP(A641,'ACTIVOS CODIGO'!A:B,2,0)</f>
        <v>PASIVO</v>
      </c>
      <c r="C641" s="2">
        <v>1</v>
      </c>
      <c r="D641" s="7" t="str">
        <f>VLOOKUP(C641,'ACTIVOS CODIGO'!H:I,2,0)</f>
        <v>PASIVO DEL TESORO = PASIVO CORRIENTE</v>
      </c>
      <c r="E641" s="3"/>
      <c r="F641" s="8"/>
      <c r="G641" s="10">
        <v>133</v>
      </c>
      <c r="H641" s="10" t="str">
        <f>VLOOKUP(G641,'PUB 21'!$A$1:$B$29,2,0)</f>
        <v>DEPOSITOS DE TERCEROS</v>
      </c>
      <c r="I641"/>
      <c r="J641" s="4"/>
      <c r="K641">
        <v>15</v>
      </c>
      <c r="L641" s="4" t="s">
        <v>547</v>
      </c>
      <c r="M641" s="27" t="str">
        <f t="shared" si="131"/>
        <v>2-1-0-13-30-15</v>
      </c>
      <c r="N641" s="27" t="str">
        <f t="shared" si="132"/>
        <v>OTROS DESCUENTOS</v>
      </c>
      <c r="O641" s="4">
        <f t="shared" si="129"/>
        <v>22</v>
      </c>
      <c r="P641" s="4" t="s">
        <v>617</v>
      </c>
      <c r="Q641" s="4" t="str">
        <f t="shared" si="122"/>
        <v>2-1-0-13-30-15-022</v>
      </c>
      <c r="R641" s="4" t="str">
        <f t="shared" si="130"/>
        <v>PENSION ALIMENT. BONO VAC. EMPL. EMPLEADOS</v>
      </c>
    </row>
    <row r="642" spans="1:18" x14ac:dyDescent="0.2">
      <c r="A642" s="1">
        <v>2</v>
      </c>
      <c r="B642" s="6" t="str">
        <f>VLOOKUP(A642,'ACTIVOS CODIGO'!A:B,2,0)</f>
        <v>PASIVO</v>
      </c>
      <c r="C642" s="2">
        <v>1</v>
      </c>
      <c r="D642" s="7" t="str">
        <f>VLOOKUP(C642,'ACTIVOS CODIGO'!H:I,2,0)</f>
        <v>PASIVO DEL TESORO = PASIVO CORRIENTE</v>
      </c>
      <c r="E642" s="3"/>
      <c r="F642" s="8"/>
      <c r="G642" s="10">
        <v>133</v>
      </c>
      <c r="H642" s="10" t="str">
        <f>VLOOKUP(G642,'PUB 21'!$A$1:$B$29,2,0)</f>
        <v>DEPOSITOS DE TERCEROS</v>
      </c>
      <c r="I642"/>
      <c r="J642" s="4"/>
      <c r="K642">
        <v>15</v>
      </c>
      <c r="L642" s="4" t="s">
        <v>547</v>
      </c>
      <c r="M642" s="27" t="str">
        <f t="shared" si="131"/>
        <v>2-1-0-13-30-15</v>
      </c>
      <c r="N642" s="27" t="str">
        <f t="shared" si="132"/>
        <v>OTROS DESCUENTOS</v>
      </c>
      <c r="O642" s="4">
        <f t="shared" si="129"/>
        <v>23</v>
      </c>
      <c r="P642" s="4" t="s">
        <v>618</v>
      </c>
      <c r="Q642" s="4" t="str">
        <f t="shared" si="122"/>
        <v>2-1-0-13-30-15-023</v>
      </c>
      <c r="R642" s="4" t="str">
        <f t="shared" si="130"/>
        <v>RETROACT. SERV. AMANECER EMPLEADOS</v>
      </c>
    </row>
    <row r="643" spans="1:18" x14ac:dyDescent="0.2">
      <c r="A643" s="1">
        <v>2</v>
      </c>
      <c r="B643" s="6" t="str">
        <f>VLOOKUP(A643,'ACTIVOS CODIGO'!A:B,2,0)</f>
        <v>PASIVO</v>
      </c>
      <c r="C643" s="2">
        <v>1</v>
      </c>
      <c r="D643" s="7" t="str">
        <f>VLOOKUP(C643,'ACTIVOS CODIGO'!H:I,2,0)</f>
        <v>PASIVO DEL TESORO = PASIVO CORRIENTE</v>
      </c>
      <c r="E643" s="3"/>
      <c r="F643" s="8"/>
      <c r="G643" s="10">
        <v>133</v>
      </c>
      <c r="H643" s="10" t="str">
        <f>VLOOKUP(G643,'PUB 21'!$A$1:$B$29,2,0)</f>
        <v>DEPOSITOS DE TERCEROS</v>
      </c>
      <c r="I643"/>
      <c r="J643" s="4"/>
      <c r="K643">
        <v>15</v>
      </c>
      <c r="L643" s="4" t="s">
        <v>547</v>
      </c>
      <c r="M643" s="27" t="str">
        <f t="shared" si="131"/>
        <v>2-1-0-13-30-15</v>
      </c>
      <c r="N643" s="27" t="str">
        <f t="shared" si="132"/>
        <v>OTROS DESCUENTOS</v>
      </c>
      <c r="O643" s="4">
        <f t="shared" si="129"/>
        <v>24</v>
      </c>
      <c r="P643" s="4" t="s">
        <v>619</v>
      </c>
      <c r="Q643" s="4" t="str">
        <f t="shared" si="122"/>
        <v>2-1-0-13-30-15-024</v>
      </c>
      <c r="R643" s="4" t="str">
        <f t="shared" si="130"/>
        <v>DESCUENTOS CRED. PARCELAS EMPLEADOS</v>
      </c>
    </row>
    <row r="644" spans="1:18" x14ac:dyDescent="0.2">
      <c r="A644" s="1">
        <v>2</v>
      </c>
      <c r="B644" s="6" t="str">
        <f>VLOOKUP(A644,'ACTIVOS CODIGO'!A:B,2,0)</f>
        <v>PASIVO</v>
      </c>
      <c r="C644" s="2">
        <v>1</v>
      </c>
      <c r="D644" s="7" t="str">
        <f>VLOOKUP(C644,'ACTIVOS CODIGO'!H:I,2,0)</f>
        <v>PASIVO DEL TESORO = PASIVO CORRIENTE</v>
      </c>
      <c r="E644" s="3"/>
      <c r="F644" s="8"/>
      <c r="G644" s="10">
        <v>133</v>
      </c>
      <c r="H644" s="10" t="str">
        <f>VLOOKUP(G644,'PUB 21'!$A$1:$B$29,2,0)</f>
        <v>DEPOSITOS DE TERCEROS</v>
      </c>
      <c r="I644"/>
      <c r="J644" s="4"/>
      <c r="K644">
        <v>15</v>
      </c>
      <c r="L644" s="4" t="s">
        <v>547</v>
      </c>
      <c r="M644" s="27" t="str">
        <f t="shared" si="131"/>
        <v>2-1-0-13-30-15</v>
      </c>
      <c r="N644" s="27" t="str">
        <f t="shared" si="132"/>
        <v>OTROS DESCUENTOS</v>
      </c>
      <c r="O644" s="4">
        <f t="shared" si="129"/>
        <v>25</v>
      </c>
      <c r="P644" s="4" t="s">
        <v>620</v>
      </c>
      <c r="Q644" s="4" t="str">
        <f t="shared" si="122"/>
        <v>2-1-0-13-30-15-025</v>
      </c>
      <c r="R644" s="4" t="str">
        <f t="shared" si="130"/>
        <v>TESORO NACIONAL DESC. I.S.L.R. EMPLEADOS</v>
      </c>
    </row>
    <row r="645" spans="1:18" x14ac:dyDescent="0.2">
      <c r="A645" s="1">
        <v>2</v>
      </c>
      <c r="B645" s="6" t="str">
        <f>VLOOKUP(A645,'ACTIVOS CODIGO'!A:B,2,0)</f>
        <v>PASIVO</v>
      </c>
      <c r="C645" s="2">
        <v>1</v>
      </c>
      <c r="D645" s="7" t="str">
        <f>VLOOKUP(C645,'ACTIVOS CODIGO'!H:I,2,0)</f>
        <v>PASIVO DEL TESORO = PASIVO CORRIENTE</v>
      </c>
      <c r="E645" s="3"/>
      <c r="F645" s="8"/>
      <c r="G645" s="10">
        <v>133</v>
      </c>
      <c r="H645" s="10" t="str">
        <f>VLOOKUP(G645,'PUB 21'!$A$1:$B$29,2,0)</f>
        <v>DEPOSITOS DE TERCEROS</v>
      </c>
      <c r="I645"/>
      <c r="J645" s="4"/>
      <c r="K645">
        <v>15</v>
      </c>
      <c r="L645" s="4" t="s">
        <v>547</v>
      </c>
      <c r="M645" s="27" t="str">
        <f t="shared" si="131"/>
        <v>2-1-0-13-30-15</v>
      </c>
      <c r="N645" s="27" t="str">
        <f t="shared" si="132"/>
        <v>OTROS DESCUENTOS</v>
      </c>
      <c r="O645" s="4">
        <f t="shared" si="129"/>
        <v>26</v>
      </c>
      <c r="P645" s="4" t="s">
        <v>621</v>
      </c>
      <c r="Q645" s="4" t="str">
        <f t="shared" si="122"/>
        <v>2-1-0-13-30-15-026</v>
      </c>
      <c r="R645" s="4" t="str">
        <f t="shared" si="130"/>
        <v>DESCUENTO IMCP EMPL. EMPLEADOS</v>
      </c>
    </row>
    <row r="646" spans="1:18" x14ac:dyDescent="0.2">
      <c r="A646" s="1">
        <v>2</v>
      </c>
      <c r="B646" s="6" t="str">
        <f>VLOOKUP(A646,'ACTIVOS CODIGO'!A:B,2,0)</f>
        <v>PASIVO</v>
      </c>
      <c r="C646" s="2">
        <v>1</v>
      </c>
      <c r="D646" s="7" t="str">
        <f>VLOOKUP(C646,'ACTIVOS CODIGO'!H:I,2,0)</f>
        <v>PASIVO DEL TESORO = PASIVO CORRIENTE</v>
      </c>
      <c r="E646" s="3"/>
      <c r="F646" s="8"/>
      <c r="G646" s="10">
        <v>133</v>
      </c>
      <c r="H646" s="10" t="str">
        <f>VLOOKUP(G646,'PUB 21'!$A$1:$B$29,2,0)</f>
        <v>DEPOSITOS DE TERCEROS</v>
      </c>
      <c r="I646"/>
      <c r="J646" s="4"/>
      <c r="K646">
        <v>15</v>
      </c>
      <c r="L646" s="4" t="s">
        <v>547</v>
      </c>
      <c r="M646" s="27" t="str">
        <f t="shared" si="131"/>
        <v>2-1-0-13-30-15</v>
      </c>
      <c r="N646" s="27" t="str">
        <f t="shared" si="132"/>
        <v>OTROS DESCUENTOS</v>
      </c>
      <c r="O646" s="4">
        <f t="shared" si="129"/>
        <v>27</v>
      </c>
      <c r="P646" s="4" t="s">
        <v>622</v>
      </c>
      <c r="Q646" s="4" t="str">
        <f t="shared" si="122"/>
        <v>2-1-0-13-30-15-027</v>
      </c>
      <c r="R646" s="4" t="str">
        <f t="shared" si="130"/>
        <v>DESC. PRIMA HIJO TRIBUNAL EMPLEADOS</v>
      </c>
    </row>
    <row r="647" spans="1:18" x14ac:dyDescent="0.2">
      <c r="A647" s="1">
        <v>2</v>
      </c>
      <c r="B647" s="6" t="str">
        <f>VLOOKUP(A647,'ACTIVOS CODIGO'!A:B,2,0)</f>
        <v>PASIVO</v>
      </c>
      <c r="C647" s="2">
        <v>1</v>
      </c>
      <c r="D647" s="7" t="str">
        <f>VLOOKUP(C647,'ACTIVOS CODIGO'!H:I,2,0)</f>
        <v>PASIVO DEL TESORO = PASIVO CORRIENTE</v>
      </c>
      <c r="E647" s="3"/>
      <c r="F647" s="8"/>
      <c r="G647" s="10">
        <v>133</v>
      </c>
      <c r="H647" s="10" t="str">
        <f>VLOOKUP(G647,'PUB 21'!$A$1:$B$29,2,0)</f>
        <v>DEPOSITOS DE TERCEROS</v>
      </c>
      <c r="I647"/>
      <c r="J647" s="4"/>
      <c r="K647">
        <v>15</v>
      </c>
      <c r="L647" s="4" t="s">
        <v>547</v>
      </c>
      <c r="M647" s="27" t="str">
        <f t="shared" si="131"/>
        <v>2-1-0-13-30-15</v>
      </c>
      <c r="N647" s="27" t="str">
        <f t="shared" si="132"/>
        <v>OTROS DESCUENTOS</v>
      </c>
      <c r="O647" s="4">
        <f t="shared" si="129"/>
        <v>28</v>
      </c>
      <c r="P647" s="4" t="s">
        <v>623</v>
      </c>
      <c r="Q647" s="4" t="str">
        <f t="shared" si="122"/>
        <v>2-1-0-13-30-15-028</v>
      </c>
      <c r="R647" s="4" t="str">
        <f t="shared" si="130"/>
        <v>DESCUENTOS ESPECIAL AGUINALDOS EMPLEADOS</v>
      </c>
    </row>
    <row r="648" spans="1:18" x14ac:dyDescent="0.2">
      <c r="A648" s="1">
        <v>2</v>
      </c>
      <c r="B648" s="6" t="str">
        <f>VLOOKUP(A648,'ACTIVOS CODIGO'!A:B,2,0)</f>
        <v>PASIVO</v>
      </c>
      <c r="C648" s="2">
        <v>1</v>
      </c>
      <c r="D648" s="7" t="str">
        <f>VLOOKUP(C648,'ACTIVOS CODIGO'!H:I,2,0)</f>
        <v>PASIVO DEL TESORO = PASIVO CORRIENTE</v>
      </c>
      <c r="E648" s="3"/>
      <c r="F648" s="8"/>
      <c r="G648" s="10">
        <v>133</v>
      </c>
      <c r="H648" s="10" t="str">
        <f>VLOOKUP(G648,'PUB 21'!$A$1:$B$29,2,0)</f>
        <v>DEPOSITOS DE TERCEROS</v>
      </c>
      <c r="I648"/>
      <c r="J648" s="4"/>
      <c r="K648">
        <v>15</v>
      </c>
      <c r="L648" s="4" t="s">
        <v>547</v>
      </c>
      <c r="M648" s="27" t="str">
        <f t="shared" si="131"/>
        <v>2-1-0-13-30-15</v>
      </c>
      <c r="N648" s="27" t="str">
        <f t="shared" si="132"/>
        <v>OTROS DESCUENTOS</v>
      </c>
      <c r="O648" s="4">
        <f t="shared" si="129"/>
        <v>29</v>
      </c>
      <c r="P648" s="4" t="s">
        <v>624</v>
      </c>
      <c r="Q648" s="4" t="str">
        <f t="shared" si="122"/>
        <v>2-1-0-13-30-15-029</v>
      </c>
      <c r="R648" s="4" t="str">
        <f t="shared" si="130"/>
        <v>DESCUENTOS DE PRODUCTOS EMPLEADOS</v>
      </c>
    </row>
    <row r="649" spans="1:18" x14ac:dyDescent="0.2">
      <c r="A649" s="1">
        <v>2</v>
      </c>
      <c r="B649" s="6" t="str">
        <f>VLOOKUP(A649,'ACTIVOS CODIGO'!A:B,2,0)</f>
        <v>PASIVO</v>
      </c>
      <c r="C649" s="2">
        <v>1</v>
      </c>
      <c r="D649" s="7" t="str">
        <f>VLOOKUP(C649,'ACTIVOS CODIGO'!H:I,2,0)</f>
        <v>PASIVO DEL TESORO = PASIVO CORRIENTE</v>
      </c>
      <c r="E649" s="3"/>
      <c r="F649" s="8"/>
      <c r="G649" s="10">
        <v>133</v>
      </c>
      <c r="H649" s="10" t="str">
        <f>VLOOKUP(G649,'PUB 21'!$A$1:$B$29,2,0)</f>
        <v>DEPOSITOS DE TERCEROS</v>
      </c>
      <c r="I649"/>
      <c r="J649" s="4"/>
      <c r="K649">
        <v>15</v>
      </c>
      <c r="L649" s="4" t="s">
        <v>547</v>
      </c>
      <c r="M649" s="27" t="str">
        <f t="shared" si="131"/>
        <v>2-1-0-13-30-15</v>
      </c>
      <c r="N649" s="27" t="str">
        <f t="shared" si="132"/>
        <v>OTROS DESCUENTOS</v>
      </c>
      <c r="O649" s="4">
        <f t="shared" si="129"/>
        <v>30</v>
      </c>
      <c r="P649" s="4" t="s">
        <v>625</v>
      </c>
      <c r="Q649" s="4" t="str">
        <f t="shared" si="122"/>
        <v>2-1-0-13-30-15-030</v>
      </c>
      <c r="R649" s="4" t="str">
        <f t="shared" si="130"/>
        <v>DESC. ESP. AGUIN. PERS. EMPL. EMPLEADOS</v>
      </c>
    </row>
    <row r="650" spans="1:18" x14ac:dyDescent="0.2">
      <c r="A650" s="1">
        <v>2</v>
      </c>
      <c r="B650" s="6" t="str">
        <f>VLOOKUP(A650,'ACTIVOS CODIGO'!A:B,2,0)</f>
        <v>PASIVO</v>
      </c>
      <c r="C650" s="2">
        <v>1</v>
      </c>
      <c r="D650" s="7" t="str">
        <f>VLOOKUP(C650,'ACTIVOS CODIGO'!H:I,2,0)</f>
        <v>PASIVO DEL TESORO = PASIVO CORRIENTE</v>
      </c>
      <c r="E650" s="3"/>
      <c r="F650" s="8"/>
      <c r="G650" s="10">
        <v>133</v>
      </c>
      <c r="H650" s="10" t="str">
        <f>VLOOKUP(G650,'PUB 21'!$A$1:$B$29,2,0)</f>
        <v>DEPOSITOS DE TERCEROS</v>
      </c>
      <c r="I650"/>
      <c r="J650" s="4"/>
      <c r="K650">
        <v>15</v>
      </c>
      <c r="L650" s="4" t="s">
        <v>547</v>
      </c>
      <c r="M650" s="27" t="str">
        <f t="shared" si="131"/>
        <v>2-1-0-13-30-15</v>
      </c>
      <c r="N650" s="27" t="str">
        <f t="shared" si="132"/>
        <v>OTROS DESCUENTOS</v>
      </c>
      <c r="O650" s="4">
        <f t="shared" si="129"/>
        <v>31</v>
      </c>
      <c r="P650" s="4" t="s">
        <v>626</v>
      </c>
      <c r="Q650" s="4" t="str">
        <f t="shared" si="122"/>
        <v>2-1-0-13-30-15-031</v>
      </c>
      <c r="R650" s="4" t="str">
        <f t="shared" si="130"/>
        <v>REINTEGRO COBRO INDEBIDO EMPLEADOS</v>
      </c>
    </row>
    <row r="651" spans="1:18" x14ac:dyDescent="0.2">
      <c r="A651" s="1">
        <v>2</v>
      </c>
      <c r="B651" s="6" t="str">
        <f>VLOOKUP(A651,'ACTIVOS CODIGO'!A:B,2,0)</f>
        <v>PASIVO</v>
      </c>
      <c r="C651" s="2">
        <v>1</v>
      </c>
      <c r="D651" s="7" t="str">
        <f>VLOOKUP(C651,'ACTIVOS CODIGO'!H:I,2,0)</f>
        <v>PASIVO DEL TESORO = PASIVO CORRIENTE</v>
      </c>
      <c r="E651" s="3"/>
      <c r="F651" s="8"/>
      <c r="G651" s="10">
        <v>133</v>
      </c>
      <c r="H651" s="10" t="str">
        <f>VLOOKUP(G651,'PUB 21'!$A$1:$B$29,2,0)</f>
        <v>DEPOSITOS DE TERCEROS</v>
      </c>
      <c r="I651"/>
      <c r="J651" s="4"/>
      <c r="K651">
        <v>15</v>
      </c>
      <c r="L651" s="4" t="s">
        <v>547</v>
      </c>
      <c r="M651" s="27" t="str">
        <f t="shared" si="131"/>
        <v>2-1-0-13-30-15</v>
      </c>
      <c r="N651" s="27" t="str">
        <f t="shared" si="132"/>
        <v>OTROS DESCUENTOS</v>
      </c>
      <c r="O651" s="4">
        <f t="shared" si="129"/>
        <v>32</v>
      </c>
      <c r="P651" s="4" t="s">
        <v>627</v>
      </c>
      <c r="Q651" s="4" t="str">
        <f t="shared" si="122"/>
        <v>2-1-0-13-30-15-032</v>
      </c>
      <c r="R651" s="4" t="str">
        <f t="shared" si="130"/>
        <v>PRESTAMO JAMONES EMPLEADOS</v>
      </c>
    </row>
    <row r="652" spans="1:18" x14ac:dyDescent="0.2">
      <c r="A652" s="1">
        <v>2</v>
      </c>
      <c r="B652" s="6" t="str">
        <f>VLOOKUP(A652,'ACTIVOS CODIGO'!A:B,2,0)</f>
        <v>PASIVO</v>
      </c>
      <c r="C652" s="2">
        <v>1</v>
      </c>
      <c r="D652" s="7" t="str">
        <f>VLOOKUP(C652,'ACTIVOS CODIGO'!H:I,2,0)</f>
        <v>PASIVO DEL TESORO = PASIVO CORRIENTE</v>
      </c>
      <c r="E652" s="3"/>
      <c r="F652" s="8"/>
      <c r="G652" s="10">
        <v>133</v>
      </c>
      <c r="H652" s="10" t="str">
        <f>VLOOKUP(G652,'PUB 21'!$A$1:$B$29,2,0)</f>
        <v>DEPOSITOS DE TERCEROS</v>
      </c>
      <c r="I652"/>
      <c r="J652" s="4"/>
      <c r="K652">
        <v>15</v>
      </c>
      <c r="L652" s="4" t="s">
        <v>547</v>
      </c>
      <c r="M652" s="27" t="str">
        <f t="shared" si="131"/>
        <v>2-1-0-13-30-15</v>
      </c>
      <c r="N652" s="27" t="str">
        <f t="shared" si="132"/>
        <v>OTROS DESCUENTOS</v>
      </c>
      <c r="O652" s="4">
        <f t="shared" si="129"/>
        <v>33</v>
      </c>
      <c r="P652" s="4" t="s">
        <v>628</v>
      </c>
      <c r="Q652" s="4" t="str">
        <f t="shared" si="122"/>
        <v>2-1-0-13-30-15-033</v>
      </c>
      <c r="R652" s="4" t="str">
        <f t="shared" si="130"/>
        <v>PRESTAMOS OFTALMOLOGIA EMPLEADOS</v>
      </c>
    </row>
    <row r="653" spans="1:18" x14ac:dyDescent="0.2">
      <c r="A653" s="1">
        <v>2</v>
      </c>
      <c r="B653" s="6" t="str">
        <f>VLOOKUP(A653,'ACTIVOS CODIGO'!A:B,2,0)</f>
        <v>PASIVO</v>
      </c>
      <c r="C653" s="2">
        <v>1</v>
      </c>
      <c r="D653" s="7" t="str">
        <f>VLOOKUP(C653,'ACTIVOS CODIGO'!H:I,2,0)</f>
        <v>PASIVO DEL TESORO = PASIVO CORRIENTE</v>
      </c>
      <c r="E653" s="3"/>
      <c r="F653" s="8"/>
      <c r="G653" s="10">
        <v>133</v>
      </c>
      <c r="H653" s="10" t="str">
        <f>VLOOKUP(G653,'PUB 21'!$A$1:$B$29,2,0)</f>
        <v>DEPOSITOS DE TERCEROS</v>
      </c>
      <c r="I653"/>
      <c r="J653" s="4"/>
      <c r="K653">
        <v>15</v>
      </c>
      <c r="L653" s="4" t="s">
        <v>547</v>
      </c>
      <c r="M653" s="27" t="str">
        <f t="shared" si="131"/>
        <v>2-1-0-13-30-15</v>
      </c>
      <c r="N653" s="27" t="str">
        <f t="shared" si="132"/>
        <v>OTROS DESCUENTOS</v>
      </c>
      <c r="O653" s="4">
        <f t="shared" si="129"/>
        <v>34</v>
      </c>
      <c r="P653" s="4" t="s">
        <v>629</v>
      </c>
      <c r="Q653" s="4" t="str">
        <f t="shared" si="122"/>
        <v>2-1-0-13-30-15-034</v>
      </c>
      <c r="R653" s="4" t="str">
        <f t="shared" si="130"/>
        <v>PRESTAMO LINEA BLANCA EMPLEADOS</v>
      </c>
    </row>
    <row r="654" spans="1:18" x14ac:dyDescent="0.2">
      <c r="A654" s="1">
        <v>2</v>
      </c>
      <c r="B654" s="6" t="str">
        <f>VLOOKUP(A654,'ACTIVOS CODIGO'!A:B,2,0)</f>
        <v>PASIVO</v>
      </c>
      <c r="C654" s="2">
        <v>1</v>
      </c>
      <c r="D654" s="7" t="str">
        <f>VLOOKUP(C654,'ACTIVOS CODIGO'!H:I,2,0)</f>
        <v>PASIVO DEL TESORO = PASIVO CORRIENTE</v>
      </c>
      <c r="E654" s="3"/>
      <c r="F654" s="8"/>
      <c r="G654" s="10">
        <v>133</v>
      </c>
      <c r="H654" s="10" t="str">
        <f>VLOOKUP(G654,'PUB 21'!$A$1:$B$29,2,0)</f>
        <v>DEPOSITOS DE TERCEROS</v>
      </c>
      <c r="I654"/>
      <c r="J654" s="4"/>
      <c r="K654">
        <v>15</v>
      </c>
      <c r="L654" s="4" t="s">
        <v>547</v>
      </c>
      <c r="M654" s="27" t="str">
        <f t="shared" si="131"/>
        <v>2-1-0-13-30-15</v>
      </c>
      <c r="N654" s="27" t="str">
        <f t="shared" si="132"/>
        <v>OTROS DESCUENTOS</v>
      </c>
      <c r="O654" s="4">
        <f t="shared" si="129"/>
        <v>35</v>
      </c>
      <c r="P654" s="4" t="s">
        <v>630</v>
      </c>
      <c r="Q654" s="4" t="str">
        <f t="shared" si="122"/>
        <v>2-1-0-13-30-15-035</v>
      </c>
      <c r="R654" s="4" t="str">
        <f t="shared" si="130"/>
        <v>PREST. CORTO PLAZO EMPLEADOS</v>
      </c>
    </row>
    <row r="655" spans="1:18" x14ac:dyDescent="0.2">
      <c r="A655" s="1">
        <v>2</v>
      </c>
      <c r="B655" s="6" t="str">
        <f>VLOOKUP(A655,'ACTIVOS CODIGO'!A:B,2,0)</f>
        <v>PASIVO</v>
      </c>
      <c r="C655" s="2">
        <v>1</v>
      </c>
      <c r="D655" s="7" t="str">
        <f>VLOOKUP(C655,'ACTIVOS CODIGO'!H:I,2,0)</f>
        <v>PASIVO DEL TESORO = PASIVO CORRIENTE</v>
      </c>
      <c r="E655" s="3"/>
      <c r="F655" s="8"/>
      <c r="G655" s="10">
        <v>133</v>
      </c>
      <c r="H655" s="10" t="str">
        <f>VLOOKUP(G655,'PUB 21'!$A$1:$B$29,2,0)</f>
        <v>DEPOSITOS DE TERCEROS</v>
      </c>
      <c r="I655"/>
      <c r="J655" s="4"/>
      <c r="K655">
        <v>15</v>
      </c>
      <c r="L655" s="4" t="s">
        <v>547</v>
      </c>
      <c r="M655" s="27" t="str">
        <f t="shared" si="131"/>
        <v>2-1-0-13-30-15</v>
      </c>
      <c r="N655" s="27" t="str">
        <f t="shared" si="132"/>
        <v>OTROS DESCUENTOS</v>
      </c>
      <c r="O655" s="4">
        <f t="shared" si="129"/>
        <v>36</v>
      </c>
      <c r="P655" s="4" t="s">
        <v>631</v>
      </c>
      <c r="Q655" s="4" t="str">
        <f t="shared" si="122"/>
        <v>2-1-0-13-30-15-036</v>
      </c>
      <c r="R655" s="4" t="str">
        <f t="shared" si="130"/>
        <v>PRESTAMO MEDIANO PLAZO EMPLEADOS</v>
      </c>
    </row>
    <row r="656" spans="1:18" x14ac:dyDescent="0.2">
      <c r="A656" s="1">
        <v>2</v>
      </c>
      <c r="B656" s="6" t="str">
        <f>VLOOKUP(A656,'ACTIVOS CODIGO'!A:B,2,0)</f>
        <v>PASIVO</v>
      </c>
      <c r="C656" s="2">
        <v>1</v>
      </c>
      <c r="D656" s="7" t="str">
        <f>VLOOKUP(C656,'ACTIVOS CODIGO'!H:I,2,0)</f>
        <v>PASIVO DEL TESORO = PASIVO CORRIENTE</v>
      </c>
      <c r="E656" s="3"/>
      <c r="F656" s="8"/>
      <c r="G656" s="10">
        <v>133</v>
      </c>
      <c r="H656" s="10" t="str">
        <f>VLOOKUP(G656,'PUB 21'!$A$1:$B$29,2,0)</f>
        <v>DEPOSITOS DE TERCEROS</v>
      </c>
      <c r="I656"/>
      <c r="J656" s="4"/>
      <c r="K656">
        <v>15</v>
      </c>
      <c r="L656" s="4" t="s">
        <v>547</v>
      </c>
      <c r="M656" s="27" t="str">
        <f t="shared" si="131"/>
        <v>2-1-0-13-30-15</v>
      </c>
      <c r="N656" s="27" t="str">
        <f t="shared" si="132"/>
        <v>OTROS DESCUENTOS</v>
      </c>
      <c r="O656" s="4">
        <f t="shared" si="129"/>
        <v>37</v>
      </c>
      <c r="P656" s="4" t="s">
        <v>632</v>
      </c>
      <c r="Q656" s="4" t="str">
        <f t="shared" si="122"/>
        <v>2-1-0-13-30-15-037</v>
      </c>
      <c r="R656" s="4" t="str">
        <f t="shared" si="130"/>
        <v>PRESTAMO CORTO PLAZO EMPLEADOS</v>
      </c>
    </row>
    <row r="657" spans="1:18" x14ac:dyDescent="0.2">
      <c r="A657" s="1">
        <v>2</v>
      </c>
      <c r="B657" s="6" t="str">
        <f>VLOOKUP(A657,'ACTIVOS CODIGO'!A:B,2,0)</f>
        <v>PASIVO</v>
      </c>
      <c r="C657" s="2">
        <v>1</v>
      </c>
      <c r="D657" s="7" t="str">
        <f>VLOOKUP(C657,'ACTIVOS CODIGO'!H:I,2,0)</f>
        <v>PASIVO DEL TESORO = PASIVO CORRIENTE</v>
      </c>
      <c r="E657" s="3"/>
      <c r="F657" s="8"/>
      <c r="G657" s="10">
        <v>133</v>
      </c>
      <c r="H657" s="10" t="str">
        <f>VLOOKUP(G657,'PUB 21'!$A$1:$B$29,2,0)</f>
        <v>DEPOSITOS DE TERCEROS</v>
      </c>
      <c r="I657"/>
      <c r="J657" s="4"/>
      <c r="K657">
        <v>15</v>
      </c>
      <c r="L657" s="4" t="s">
        <v>547</v>
      </c>
      <c r="M657" s="27" t="str">
        <f t="shared" si="131"/>
        <v>2-1-0-13-30-15</v>
      </c>
      <c r="N657" s="27" t="str">
        <f t="shared" si="132"/>
        <v>OTROS DESCUENTOS</v>
      </c>
      <c r="O657" s="4">
        <f t="shared" si="129"/>
        <v>38</v>
      </c>
      <c r="P657" s="4" t="s">
        <v>633</v>
      </c>
      <c r="Q657" s="4" t="str">
        <f t="shared" si="122"/>
        <v>2-1-0-13-30-15-038</v>
      </c>
      <c r="R657" s="4" t="str">
        <f t="shared" si="130"/>
        <v>PRESTAMO COMERCIAL B EMPLEADOS</v>
      </c>
    </row>
    <row r="658" spans="1:18" x14ac:dyDescent="0.2">
      <c r="A658" s="1">
        <v>2</v>
      </c>
      <c r="B658" s="6" t="str">
        <f>VLOOKUP(A658,'ACTIVOS CODIGO'!A:B,2,0)</f>
        <v>PASIVO</v>
      </c>
      <c r="C658" s="2">
        <v>1</v>
      </c>
      <c r="D658" s="7" t="str">
        <f>VLOOKUP(C658,'ACTIVOS CODIGO'!H:I,2,0)</f>
        <v>PASIVO DEL TESORO = PASIVO CORRIENTE</v>
      </c>
      <c r="E658" s="3"/>
      <c r="F658" s="8"/>
      <c r="G658" s="10">
        <v>133</v>
      </c>
      <c r="H658" s="10" t="str">
        <f>VLOOKUP(G658,'PUB 21'!$A$1:$B$29,2,0)</f>
        <v>DEPOSITOS DE TERCEROS</v>
      </c>
      <c r="I658"/>
      <c r="J658" s="4"/>
      <c r="K658">
        <v>15</v>
      </c>
      <c r="L658" s="4" t="s">
        <v>547</v>
      </c>
      <c r="M658" s="27" t="str">
        <f t="shared" si="131"/>
        <v>2-1-0-13-30-15</v>
      </c>
      <c r="N658" s="27" t="str">
        <f t="shared" si="132"/>
        <v>OTROS DESCUENTOS</v>
      </c>
      <c r="O658" s="4">
        <f t="shared" si="129"/>
        <v>39</v>
      </c>
      <c r="P658" s="4" t="s">
        <v>634</v>
      </c>
      <c r="Q658" s="4" t="str">
        <f t="shared" ref="Q658:Q721" si="133">CONCATENATE(TEXT(A658,"0"),"-",TEXT(C658,"0"),"-",TEXT(E658,"0"),"-",TEXT(LEFT(G658,2),"00"),"-",TEXT(RIGHT(G658,1),"0"),TEXT(I658,"0"),"-",TEXT(K658,"00"),"-",TEXT(O658,"000"))</f>
        <v>2-1-0-13-30-15-039</v>
      </c>
      <c r="R658" s="4" t="str">
        <f t="shared" si="130"/>
        <v>PREST. FIJO ADM. EMPLEADOS</v>
      </c>
    </row>
    <row r="659" spans="1:18" x14ac:dyDescent="0.2">
      <c r="A659" s="1">
        <v>2</v>
      </c>
      <c r="B659" s="6" t="str">
        <f>VLOOKUP(A659,'ACTIVOS CODIGO'!A:B,2,0)</f>
        <v>PASIVO</v>
      </c>
      <c r="C659" s="2">
        <v>1</v>
      </c>
      <c r="D659" s="7" t="str">
        <f>VLOOKUP(C659,'ACTIVOS CODIGO'!H:I,2,0)</f>
        <v>PASIVO DEL TESORO = PASIVO CORRIENTE</v>
      </c>
      <c r="E659" s="3"/>
      <c r="F659" s="8"/>
      <c r="G659" s="10">
        <v>133</v>
      </c>
      <c r="H659" s="10" t="str">
        <f>VLOOKUP(G659,'PUB 21'!$A$1:$B$29,2,0)</f>
        <v>DEPOSITOS DE TERCEROS</v>
      </c>
      <c r="I659"/>
      <c r="J659" s="4"/>
      <c r="K659">
        <v>15</v>
      </c>
      <c r="L659" s="4" t="s">
        <v>547</v>
      </c>
      <c r="M659" s="27" t="str">
        <f t="shared" si="131"/>
        <v>2-1-0-13-30-15</v>
      </c>
      <c r="N659" s="27" t="str">
        <f t="shared" si="132"/>
        <v>OTROS DESCUENTOS</v>
      </c>
      <c r="O659" s="4">
        <f t="shared" si="129"/>
        <v>40</v>
      </c>
      <c r="P659" s="4" t="s">
        <v>635</v>
      </c>
      <c r="Q659" s="4" t="str">
        <f t="shared" si="133"/>
        <v>2-1-0-13-30-15-040</v>
      </c>
      <c r="R659" s="4" t="str">
        <f t="shared" si="130"/>
        <v>PRESTAMO LARGO PLAZO EMPLEADOS</v>
      </c>
    </row>
    <row r="660" spans="1:18" x14ac:dyDescent="0.2">
      <c r="A660" s="1">
        <v>2</v>
      </c>
      <c r="B660" s="6" t="str">
        <f>VLOOKUP(A660,'ACTIVOS CODIGO'!A:B,2,0)</f>
        <v>PASIVO</v>
      </c>
      <c r="C660" s="2">
        <v>1</v>
      </c>
      <c r="D660" s="7" t="str">
        <f>VLOOKUP(C660,'ACTIVOS CODIGO'!H:I,2,0)</f>
        <v>PASIVO DEL TESORO = PASIVO CORRIENTE</v>
      </c>
      <c r="E660" s="3"/>
      <c r="F660" s="8"/>
      <c r="G660" s="10">
        <v>133</v>
      </c>
      <c r="H660" s="10" t="str">
        <f>VLOOKUP(G660,'PUB 21'!$A$1:$B$29,2,0)</f>
        <v>DEPOSITOS DE TERCEROS</v>
      </c>
      <c r="I660"/>
      <c r="J660" s="4"/>
      <c r="K660">
        <v>15</v>
      </c>
      <c r="L660" s="4" t="s">
        <v>547</v>
      </c>
      <c r="M660" s="27" t="str">
        <f t="shared" si="131"/>
        <v>2-1-0-13-30-15</v>
      </c>
      <c r="N660" s="27" t="str">
        <f t="shared" si="132"/>
        <v>OTROS DESCUENTOS</v>
      </c>
      <c r="O660" s="4">
        <f t="shared" si="129"/>
        <v>41</v>
      </c>
      <c r="P660" s="4" t="s">
        <v>636</v>
      </c>
      <c r="Q660" s="4" t="str">
        <f t="shared" si="133"/>
        <v>2-1-0-13-30-15-041</v>
      </c>
      <c r="R660" s="4" t="str">
        <f t="shared" si="130"/>
        <v>PRESTAMO LARGO PLAZO ADM. EMPLEADOS</v>
      </c>
    </row>
    <row r="661" spans="1:18" x14ac:dyDescent="0.2">
      <c r="A661" s="1">
        <v>2</v>
      </c>
      <c r="B661" s="6" t="str">
        <f>VLOOKUP(A661,'ACTIVOS CODIGO'!A:B,2,0)</f>
        <v>PASIVO</v>
      </c>
      <c r="C661" s="2">
        <v>1</v>
      </c>
      <c r="D661" s="7" t="str">
        <f>VLOOKUP(C661,'ACTIVOS CODIGO'!H:I,2,0)</f>
        <v>PASIVO DEL TESORO = PASIVO CORRIENTE</v>
      </c>
      <c r="E661" s="3"/>
      <c r="F661" s="8"/>
      <c r="G661" s="10">
        <v>133</v>
      </c>
      <c r="H661" s="10" t="str">
        <f>VLOOKUP(G661,'PUB 21'!$A$1:$B$29,2,0)</f>
        <v>DEPOSITOS DE TERCEROS</v>
      </c>
      <c r="I661"/>
      <c r="J661" s="4"/>
      <c r="K661">
        <v>15</v>
      </c>
      <c r="L661" s="4" t="s">
        <v>547</v>
      </c>
      <c r="M661" s="27" t="str">
        <f t="shared" si="131"/>
        <v>2-1-0-13-30-15</v>
      </c>
      <c r="N661" s="27" t="str">
        <f t="shared" si="132"/>
        <v>OTROS DESCUENTOS</v>
      </c>
      <c r="O661" s="4">
        <f t="shared" si="129"/>
        <v>42</v>
      </c>
      <c r="P661" s="4" t="s">
        <v>637</v>
      </c>
      <c r="Q661" s="4" t="str">
        <f t="shared" si="133"/>
        <v>2-1-0-13-30-15-042</v>
      </c>
      <c r="R661" s="4" t="str">
        <f t="shared" si="130"/>
        <v>REINT. PAGO INDEB. DIFERENCIA EMPLEADOS</v>
      </c>
    </row>
    <row r="662" spans="1:18" x14ac:dyDescent="0.2">
      <c r="A662" s="1">
        <v>2</v>
      </c>
      <c r="B662" s="6" t="str">
        <f>VLOOKUP(A662,'ACTIVOS CODIGO'!A:B,2,0)</f>
        <v>PASIVO</v>
      </c>
      <c r="C662" s="2">
        <v>1</v>
      </c>
      <c r="D662" s="7" t="str">
        <f>VLOOKUP(C662,'ACTIVOS CODIGO'!H:I,2,0)</f>
        <v>PASIVO DEL TESORO = PASIVO CORRIENTE</v>
      </c>
      <c r="E662" s="3"/>
      <c r="F662" s="8"/>
      <c r="G662" s="10">
        <v>133</v>
      </c>
      <c r="H662" s="10" t="str">
        <f>VLOOKUP(G662,'PUB 21'!$A$1:$B$29,2,0)</f>
        <v>DEPOSITOS DE TERCEROS</v>
      </c>
      <c r="I662"/>
      <c r="J662" s="4"/>
      <c r="K662">
        <v>15</v>
      </c>
      <c r="L662" s="4" t="s">
        <v>547</v>
      </c>
      <c r="M662" s="27" t="str">
        <f t="shared" si="131"/>
        <v>2-1-0-13-30-15</v>
      </c>
      <c r="N662" s="27" t="str">
        <f t="shared" si="132"/>
        <v>OTROS DESCUENTOS</v>
      </c>
      <c r="O662" s="4">
        <f t="shared" si="129"/>
        <v>43</v>
      </c>
      <c r="P662" s="4" t="s">
        <v>638</v>
      </c>
      <c r="Q662" s="4" t="str">
        <f t="shared" si="133"/>
        <v>2-1-0-13-30-15-043</v>
      </c>
      <c r="R662" s="4" t="str">
        <f t="shared" si="130"/>
        <v>DESCUENTO SUELDO POR COMISION EMPLEADOS</v>
      </c>
    </row>
    <row r="663" spans="1:18" x14ac:dyDescent="0.2">
      <c r="A663" s="1">
        <v>2</v>
      </c>
      <c r="B663" s="6" t="str">
        <f>VLOOKUP(A663,'ACTIVOS CODIGO'!A:B,2,0)</f>
        <v>PASIVO</v>
      </c>
      <c r="C663" s="2">
        <v>1</v>
      </c>
      <c r="D663" s="7" t="str">
        <f>VLOOKUP(C663,'ACTIVOS CODIGO'!H:I,2,0)</f>
        <v>PASIVO DEL TESORO = PASIVO CORRIENTE</v>
      </c>
      <c r="E663" s="3"/>
      <c r="F663" s="8"/>
      <c r="G663" s="10">
        <v>133</v>
      </c>
      <c r="H663" s="10" t="str">
        <f>VLOOKUP(G663,'PUB 21'!$A$1:$B$29,2,0)</f>
        <v>DEPOSITOS DE TERCEROS</v>
      </c>
      <c r="I663"/>
      <c r="J663" s="4"/>
      <c r="K663">
        <v>15</v>
      </c>
      <c r="L663" s="4" t="s">
        <v>547</v>
      </c>
      <c r="M663" s="27" t="str">
        <f t="shared" si="131"/>
        <v>2-1-0-13-30-15</v>
      </c>
      <c r="N663" s="27" t="str">
        <f t="shared" si="132"/>
        <v>OTROS DESCUENTOS</v>
      </c>
      <c r="O663" s="4">
        <f t="shared" si="129"/>
        <v>44</v>
      </c>
      <c r="P663" s="4" t="s">
        <v>639</v>
      </c>
      <c r="Q663" s="4" t="str">
        <f t="shared" si="133"/>
        <v>2-1-0-13-30-15-044</v>
      </c>
      <c r="R663" s="4" t="str">
        <f t="shared" si="130"/>
        <v>DCTO SUELDO POR COMISION OMITIDO EMPLEADOS</v>
      </c>
    </row>
    <row r="664" spans="1:18" x14ac:dyDescent="0.2">
      <c r="A664" s="1">
        <v>2</v>
      </c>
      <c r="B664" s="6" t="str">
        <f>VLOOKUP(A664,'ACTIVOS CODIGO'!A:B,2,0)</f>
        <v>PASIVO</v>
      </c>
      <c r="C664" s="2">
        <v>1</v>
      </c>
      <c r="D664" s="7" t="str">
        <f>VLOOKUP(C664,'ACTIVOS CODIGO'!H:I,2,0)</f>
        <v>PASIVO DEL TESORO = PASIVO CORRIENTE</v>
      </c>
      <c r="E664" s="3"/>
      <c r="F664" s="8"/>
      <c r="G664" s="10">
        <v>133</v>
      </c>
      <c r="H664" s="10" t="str">
        <f>VLOOKUP(G664,'PUB 21'!$A$1:$B$29,2,0)</f>
        <v>DEPOSITOS DE TERCEROS</v>
      </c>
      <c r="I664"/>
      <c r="J664" s="4"/>
      <c r="K664">
        <v>15</v>
      </c>
      <c r="L664" s="4" t="s">
        <v>547</v>
      </c>
      <c r="M664" s="27" t="str">
        <f t="shared" si="131"/>
        <v>2-1-0-13-30-15</v>
      </c>
      <c r="N664" s="27" t="str">
        <f t="shared" si="132"/>
        <v>OTROS DESCUENTOS</v>
      </c>
      <c r="O664" s="4">
        <f t="shared" si="129"/>
        <v>45</v>
      </c>
      <c r="P664" s="4" t="s">
        <v>640</v>
      </c>
      <c r="Q664" s="4" t="str">
        <f t="shared" si="133"/>
        <v>2-1-0-13-30-15-045</v>
      </c>
      <c r="R664" s="4" t="str">
        <f t="shared" si="130"/>
        <v>REINTEGRO BONO VACACIONAL EMPLEADOS</v>
      </c>
    </row>
    <row r="665" spans="1:18" x14ac:dyDescent="0.2">
      <c r="A665" s="1">
        <v>2</v>
      </c>
      <c r="B665" s="6" t="str">
        <f>VLOOKUP(A665,'ACTIVOS CODIGO'!A:B,2,0)</f>
        <v>PASIVO</v>
      </c>
      <c r="C665" s="2">
        <v>1</v>
      </c>
      <c r="D665" s="7" t="str">
        <f>VLOOKUP(C665,'ACTIVOS CODIGO'!H:I,2,0)</f>
        <v>PASIVO DEL TESORO = PASIVO CORRIENTE</v>
      </c>
      <c r="E665" s="3"/>
      <c r="F665" s="8"/>
      <c r="G665" s="10">
        <v>133</v>
      </c>
      <c r="H665" s="10" t="str">
        <f>VLOOKUP(G665,'PUB 21'!$A$1:$B$29,2,0)</f>
        <v>DEPOSITOS DE TERCEROS</v>
      </c>
      <c r="I665"/>
      <c r="J665" s="4"/>
      <c r="K665">
        <v>15</v>
      </c>
      <c r="L665" s="4" t="s">
        <v>547</v>
      </c>
      <c r="M665" s="27" t="str">
        <f t="shared" si="131"/>
        <v>2-1-0-13-30-15</v>
      </c>
      <c r="N665" s="27" t="str">
        <f t="shared" si="132"/>
        <v>OTROS DESCUENTOS</v>
      </c>
      <c r="O665" s="4">
        <f t="shared" si="129"/>
        <v>46</v>
      </c>
      <c r="P665" s="4" t="s">
        <v>641</v>
      </c>
      <c r="Q665" s="4" t="str">
        <f t="shared" si="133"/>
        <v>2-1-0-13-30-15-046</v>
      </c>
      <c r="R665" s="4" t="str">
        <f t="shared" si="130"/>
        <v>REINT. PAGO INDB. PRIMA PROF. EMPLEADOS</v>
      </c>
    </row>
    <row r="666" spans="1:18" x14ac:dyDescent="0.2">
      <c r="A666" s="1">
        <v>2</v>
      </c>
      <c r="B666" s="6" t="str">
        <f>VLOOKUP(A666,'ACTIVOS CODIGO'!A:B,2,0)</f>
        <v>PASIVO</v>
      </c>
      <c r="C666" s="2">
        <v>1</v>
      </c>
      <c r="D666" s="7" t="str">
        <f>VLOOKUP(C666,'ACTIVOS CODIGO'!H:I,2,0)</f>
        <v>PASIVO DEL TESORO = PASIVO CORRIENTE</v>
      </c>
      <c r="E666" s="3"/>
      <c r="F666" s="8"/>
      <c r="G666" s="10">
        <v>133</v>
      </c>
      <c r="H666" s="10" t="str">
        <f>VLOOKUP(G666,'PUB 21'!$A$1:$B$29,2,0)</f>
        <v>DEPOSITOS DE TERCEROS</v>
      </c>
      <c r="I666"/>
      <c r="J666" s="4"/>
      <c r="K666">
        <v>15</v>
      </c>
      <c r="L666" s="4" t="s">
        <v>547</v>
      </c>
      <c r="M666" s="27" t="str">
        <f t="shared" si="131"/>
        <v>2-1-0-13-30-15</v>
      </c>
      <c r="N666" s="27" t="str">
        <f t="shared" si="132"/>
        <v>OTROS DESCUENTOS</v>
      </c>
      <c r="O666" s="4">
        <f t="shared" si="129"/>
        <v>47</v>
      </c>
      <c r="P666" s="4" t="s">
        <v>642</v>
      </c>
      <c r="Q666" s="4" t="str">
        <f t="shared" si="133"/>
        <v>2-1-0-13-30-15-047</v>
      </c>
      <c r="R666" s="4" t="str">
        <f t="shared" si="130"/>
        <v>REINT. PAGO INDB. PRIMA ANT. EMPLEADOS</v>
      </c>
    </row>
    <row r="667" spans="1:18" x14ac:dyDescent="0.2">
      <c r="A667" s="1">
        <v>2</v>
      </c>
      <c r="B667" s="6" t="str">
        <f>VLOOKUP(A667,'ACTIVOS CODIGO'!A:B,2,0)</f>
        <v>PASIVO</v>
      </c>
      <c r="C667" s="2">
        <v>1</v>
      </c>
      <c r="D667" s="7" t="str">
        <f>VLOOKUP(C667,'ACTIVOS CODIGO'!H:I,2,0)</f>
        <v>PASIVO DEL TESORO = PASIVO CORRIENTE</v>
      </c>
      <c r="E667" s="3"/>
      <c r="F667" s="8"/>
      <c r="G667" s="10">
        <v>133</v>
      </c>
      <c r="H667" s="10" t="str">
        <f>VLOOKUP(G667,'PUB 21'!$A$1:$B$29,2,0)</f>
        <v>DEPOSITOS DE TERCEROS</v>
      </c>
      <c r="I667"/>
      <c r="J667" s="4"/>
      <c r="K667">
        <v>15</v>
      </c>
      <c r="L667" s="4" t="s">
        <v>547</v>
      </c>
      <c r="M667" s="27" t="str">
        <f t="shared" si="131"/>
        <v>2-1-0-13-30-15</v>
      </c>
      <c r="N667" s="27" t="str">
        <f t="shared" si="132"/>
        <v>OTROS DESCUENTOS</v>
      </c>
      <c r="O667" s="4">
        <f t="shared" si="129"/>
        <v>48</v>
      </c>
      <c r="P667" s="4" t="s">
        <v>643</v>
      </c>
      <c r="Q667" s="4" t="str">
        <f t="shared" si="133"/>
        <v>2-1-0-13-30-15-048</v>
      </c>
      <c r="R667" s="4" t="str">
        <f t="shared" si="130"/>
        <v>REINT. PAGO INDEB. COMISION DE EMPLEADOS</v>
      </c>
    </row>
    <row r="668" spans="1:18" x14ac:dyDescent="0.2">
      <c r="A668" s="1">
        <v>2</v>
      </c>
      <c r="B668" s="6" t="str">
        <f>VLOOKUP(A668,'ACTIVOS CODIGO'!A:B,2,0)</f>
        <v>PASIVO</v>
      </c>
      <c r="C668" s="2">
        <v>1</v>
      </c>
      <c r="D668" s="7" t="str">
        <f>VLOOKUP(C668,'ACTIVOS CODIGO'!H:I,2,0)</f>
        <v>PASIVO DEL TESORO = PASIVO CORRIENTE</v>
      </c>
      <c r="E668" s="3"/>
      <c r="F668" s="8"/>
      <c r="G668" s="10">
        <v>133</v>
      </c>
      <c r="H668" s="10" t="str">
        <f>VLOOKUP(G668,'PUB 21'!$A$1:$B$29,2,0)</f>
        <v>DEPOSITOS DE TERCEROS</v>
      </c>
      <c r="I668"/>
      <c r="J668" s="4"/>
      <c r="K668">
        <v>15</v>
      </c>
      <c r="L668" s="4" t="s">
        <v>547</v>
      </c>
      <c r="M668" s="27" t="str">
        <f t="shared" si="131"/>
        <v>2-1-0-13-30-15</v>
      </c>
      <c r="N668" s="27" t="str">
        <f t="shared" si="132"/>
        <v>OTROS DESCUENTOS</v>
      </c>
      <c r="O668" s="4">
        <f t="shared" si="129"/>
        <v>49</v>
      </c>
      <c r="P668" s="4" t="s">
        <v>644</v>
      </c>
      <c r="Q668" s="4" t="str">
        <f t="shared" si="133"/>
        <v>2-1-0-13-30-15-049</v>
      </c>
      <c r="R668" s="4" t="str">
        <f t="shared" si="130"/>
        <v>REINT. COBRO INDEB.AGUINALDO EMPLEADOS</v>
      </c>
    </row>
    <row r="669" spans="1:18" x14ac:dyDescent="0.2">
      <c r="A669" s="1">
        <v>2</v>
      </c>
      <c r="B669" s="6" t="str">
        <f>VLOOKUP(A669,'ACTIVOS CODIGO'!A:B,2,0)</f>
        <v>PASIVO</v>
      </c>
      <c r="C669" s="2">
        <v>1</v>
      </c>
      <c r="D669" s="7" t="str">
        <f>VLOOKUP(C669,'ACTIVOS CODIGO'!H:I,2,0)</f>
        <v>PASIVO DEL TESORO = PASIVO CORRIENTE</v>
      </c>
      <c r="E669" s="3"/>
      <c r="F669" s="8"/>
      <c r="G669" s="10">
        <v>133</v>
      </c>
      <c r="H669" s="10" t="str">
        <f>VLOOKUP(G669,'PUB 21'!$A$1:$B$29,2,0)</f>
        <v>DEPOSITOS DE TERCEROS</v>
      </c>
      <c r="I669"/>
      <c r="J669" s="4"/>
      <c r="K669">
        <v>15</v>
      </c>
      <c r="L669" s="4" t="s">
        <v>547</v>
      </c>
      <c r="M669" s="27" t="str">
        <f t="shared" si="131"/>
        <v>2-1-0-13-30-15</v>
      </c>
      <c r="N669" s="27" t="str">
        <f t="shared" si="132"/>
        <v>OTROS DESCUENTOS</v>
      </c>
      <c r="O669" s="4">
        <f t="shared" si="129"/>
        <v>50</v>
      </c>
      <c r="P669" s="4" t="s">
        <v>645</v>
      </c>
      <c r="Q669" s="4" t="str">
        <f t="shared" si="133"/>
        <v>2-1-0-13-30-15-050</v>
      </c>
      <c r="R669" s="4" t="str">
        <f t="shared" si="130"/>
        <v>REINT. COBRO INDEB. DIF. DE SUELDO EMPLEADOS</v>
      </c>
    </row>
    <row r="670" spans="1:18" x14ac:dyDescent="0.2">
      <c r="A670" s="1">
        <v>2</v>
      </c>
      <c r="B670" s="6" t="str">
        <f>VLOOKUP(A670,'ACTIVOS CODIGO'!A:B,2,0)</f>
        <v>PASIVO</v>
      </c>
      <c r="C670" s="2">
        <v>1</v>
      </c>
      <c r="D670" s="7" t="str">
        <f>VLOOKUP(C670,'ACTIVOS CODIGO'!H:I,2,0)</f>
        <v>PASIVO DEL TESORO = PASIVO CORRIENTE</v>
      </c>
      <c r="E670" s="3"/>
      <c r="F670" s="8"/>
      <c r="G670" s="10">
        <v>133</v>
      </c>
      <c r="H670" s="10" t="str">
        <f>VLOOKUP(G670,'PUB 21'!$A$1:$B$29,2,0)</f>
        <v>DEPOSITOS DE TERCEROS</v>
      </c>
      <c r="I670"/>
      <c r="J670" s="4"/>
      <c r="K670">
        <v>15</v>
      </c>
      <c r="L670" s="4" t="s">
        <v>547</v>
      </c>
      <c r="M670" s="27" t="str">
        <f t="shared" si="131"/>
        <v>2-1-0-13-30-15</v>
      </c>
      <c r="N670" s="27" t="str">
        <f t="shared" si="132"/>
        <v>OTROS DESCUENTOS</v>
      </c>
      <c r="O670" s="4">
        <f t="shared" si="129"/>
        <v>51</v>
      </c>
      <c r="P670" s="4" t="s">
        <v>646</v>
      </c>
      <c r="Q670" s="4" t="str">
        <f t="shared" si="133"/>
        <v>2-1-0-13-30-15-051</v>
      </c>
      <c r="R670" s="4" t="str">
        <f t="shared" si="130"/>
        <v>REINT. PAGO INDEB. PRIMA EMPLEADOS</v>
      </c>
    </row>
    <row r="671" spans="1:18" x14ac:dyDescent="0.2">
      <c r="A671" s="1">
        <v>2</v>
      </c>
      <c r="B671" s="6" t="str">
        <f>VLOOKUP(A671,'ACTIVOS CODIGO'!A:B,2,0)</f>
        <v>PASIVO</v>
      </c>
      <c r="C671" s="2">
        <v>1</v>
      </c>
      <c r="D671" s="7" t="str">
        <f>VLOOKUP(C671,'ACTIVOS CODIGO'!H:I,2,0)</f>
        <v>PASIVO DEL TESORO = PASIVO CORRIENTE</v>
      </c>
      <c r="E671" s="3"/>
      <c r="F671" s="8"/>
      <c r="G671" s="10">
        <v>133</v>
      </c>
      <c r="H671" s="10" t="str">
        <f>VLOOKUP(G671,'PUB 21'!$A$1:$B$29,2,0)</f>
        <v>DEPOSITOS DE TERCEROS</v>
      </c>
      <c r="I671"/>
      <c r="J671" s="4"/>
      <c r="K671">
        <v>15</v>
      </c>
      <c r="L671" s="4" t="s">
        <v>547</v>
      </c>
      <c r="M671" s="27" t="str">
        <f t="shared" si="131"/>
        <v>2-1-0-13-30-15</v>
      </c>
      <c r="N671" s="27" t="str">
        <f t="shared" si="132"/>
        <v>OTROS DESCUENTOS</v>
      </c>
      <c r="O671" s="4">
        <f t="shared" si="129"/>
        <v>52</v>
      </c>
      <c r="P671" s="4" t="s">
        <v>647</v>
      </c>
      <c r="Q671" s="4" t="str">
        <f t="shared" si="133"/>
        <v>2-1-0-13-30-15-052</v>
      </c>
      <c r="R671" s="4" t="str">
        <f t="shared" si="130"/>
        <v>REINT. AJUSTE SAL. MIN CONT MAYO 20 EMPLEADOS</v>
      </c>
    </row>
    <row r="672" spans="1:18" x14ac:dyDescent="0.2">
      <c r="A672" s="1">
        <v>2</v>
      </c>
      <c r="B672" s="6" t="str">
        <f>VLOOKUP(A672,'ACTIVOS CODIGO'!A:B,2,0)</f>
        <v>PASIVO</v>
      </c>
      <c r="C672" s="2">
        <v>1</v>
      </c>
      <c r="D672" s="7" t="str">
        <f>VLOOKUP(C672,'ACTIVOS CODIGO'!H:I,2,0)</f>
        <v>PASIVO DEL TESORO = PASIVO CORRIENTE</v>
      </c>
      <c r="E672" s="3"/>
      <c r="F672" s="8"/>
      <c r="G672" s="10">
        <v>133</v>
      </c>
      <c r="H672" s="10" t="str">
        <f>VLOOKUP(G672,'PUB 21'!$A$1:$B$29,2,0)</f>
        <v>DEPOSITOS DE TERCEROS</v>
      </c>
      <c r="I672"/>
      <c r="J672" s="4"/>
      <c r="K672">
        <v>15</v>
      </c>
      <c r="L672" s="4" t="s">
        <v>547</v>
      </c>
      <c r="M672" s="27" t="str">
        <f t="shared" si="131"/>
        <v>2-1-0-13-30-15</v>
      </c>
      <c r="N672" s="27" t="str">
        <f t="shared" si="132"/>
        <v>OTROS DESCUENTOS</v>
      </c>
      <c r="O672" s="4">
        <f t="shared" si="129"/>
        <v>53</v>
      </c>
      <c r="P672" s="4" t="s">
        <v>648</v>
      </c>
      <c r="Q672" s="4" t="str">
        <f t="shared" si="133"/>
        <v>2-1-0-13-30-15-053</v>
      </c>
      <c r="R672" s="4" t="str">
        <f t="shared" si="130"/>
        <v>REINT. COBRO IND. COMP. DIR. GNRAL. EMPLEADOS</v>
      </c>
    </row>
    <row r="673" spans="1:18" x14ac:dyDescent="0.2">
      <c r="A673" s="1">
        <v>2</v>
      </c>
      <c r="B673" s="6" t="str">
        <f>VLOOKUP(A673,'ACTIVOS CODIGO'!A:B,2,0)</f>
        <v>PASIVO</v>
      </c>
      <c r="C673" s="2">
        <v>1</v>
      </c>
      <c r="D673" s="7" t="str">
        <f>VLOOKUP(C673,'ACTIVOS CODIGO'!H:I,2,0)</f>
        <v>PASIVO DEL TESORO = PASIVO CORRIENTE</v>
      </c>
      <c r="E673" s="3"/>
      <c r="F673" s="8"/>
      <c r="G673" s="10">
        <v>133</v>
      </c>
      <c r="H673" s="10" t="str">
        <f>VLOOKUP(G673,'PUB 21'!$A$1:$B$29,2,0)</f>
        <v>DEPOSITOS DE TERCEROS</v>
      </c>
      <c r="I673"/>
      <c r="J673" s="4"/>
      <c r="K673">
        <v>15</v>
      </c>
      <c r="L673" s="4" t="s">
        <v>547</v>
      </c>
      <c r="M673" s="27" t="str">
        <f t="shared" si="131"/>
        <v>2-1-0-13-30-15</v>
      </c>
      <c r="N673" s="27" t="str">
        <f t="shared" si="132"/>
        <v>OTROS DESCUENTOS</v>
      </c>
      <c r="O673" s="4">
        <f t="shared" si="129"/>
        <v>54</v>
      </c>
      <c r="P673" s="4" t="s">
        <v>649</v>
      </c>
      <c r="Q673" s="4" t="str">
        <f t="shared" si="133"/>
        <v>2-1-0-13-30-15-054</v>
      </c>
      <c r="R673" s="4" t="str">
        <f t="shared" si="130"/>
        <v>REINT.COBRO INDEB. DIF.SUELDO. EMPLEADOS</v>
      </c>
    </row>
    <row r="674" spans="1:18" x14ac:dyDescent="0.2">
      <c r="A674" s="1">
        <v>2</v>
      </c>
      <c r="B674" s="6" t="str">
        <f>VLOOKUP(A674,'ACTIVOS CODIGO'!A:B,2,0)</f>
        <v>PASIVO</v>
      </c>
      <c r="C674" s="2">
        <v>1</v>
      </c>
      <c r="D674" s="7" t="str">
        <f>VLOOKUP(C674,'ACTIVOS CODIGO'!H:I,2,0)</f>
        <v>PASIVO DEL TESORO = PASIVO CORRIENTE</v>
      </c>
      <c r="E674" s="3"/>
      <c r="F674" s="8"/>
      <c r="G674" s="10">
        <v>133</v>
      </c>
      <c r="H674" s="10" t="str">
        <f>VLOOKUP(G674,'PUB 21'!$A$1:$B$29,2,0)</f>
        <v>DEPOSITOS DE TERCEROS</v>
      </c>
      <c r="I674"/>
      <c r="J674" s="4"/>
      <c r="K674">
        <v>15</v>
      </c>
      <c r="L674" s="4" t="s">
        <v>547</v>
      </c>
      <c r="M674" s="27" t="str">
        <f t="shared" si="131"/>
        <v>2-1-0-13-30-15</v>
      </c>
      <c r="N674" s="27" t="str">
        <f t="shared" si="132"/>
        <v>OTROS DESCUENTOS</v>
      </c>
      <c r="O674" s="4">
        <f t="shared" si="129"/>
        <v>55</v>
      </c>
      <c r="P674" s="4" t="s">
        <v>650</v>
      </c>
      <c r="Q674" s="4" t="str">
        <f t="shared" si="133"/>
        <v>2-1-0-13-30-15-055</v>
      </c>
      <c r="R674" s="4" t="str">
        <f t="shared" si="130"/>
        <v>REINT. PAGO INDEB. POST GRADO Y EMPLEADOS</v>
      </c>
    </row>
    <row r="675" spans="1:18" x14ac:dyDescent="0.2">
      <c r="A675" s="1">
        <v>2</v>
      </c>
      <c r="B675" s="6" t="str">
        <f>VLOOKUP(A675,'ACTIVOS CODIGO'!A:B,2,0)</f>
        <v>PASIVO</v>
      </c>
      <c r="C675" s="2">
        <v>1</v>
      </c>
      <c r="D675" s="7" t="str">
        <f>VLOOKUP(C675,'ACTIVOS CODIGO'!H:I,2,0)</f>
        <v>PASIVO DEL TESORO = PASIVO CORRIENTE</v>
      </c>
      <c r="E675" s="3"/>
      <c r="F675" s="8"/>
      <c r="G675" s="10">
        <v>133</v>
      </c>
      <c r="H675" s="10" t="str">
        <f>VLOOKUP(G675,'PUB 21'!$A$1:$B$29,2,0)</f>
        <v>DEPOSITOS DE TERCEROS</v>
      </c>
      <c r="I675"/>
      <c r="J675" s="4"/>
      <c r="K675">
        <v>15</v>
      </c>
      <c r="L675" s="4" t="s">
        <v>547</v>
      </c>
      <c r="M675" s="27" t="str">
        <f t="shared" si="131"/>
        <v>2-1-0-13-30-15</v>
      </c>
      <c r="N675" s="27" t="str">
        <f t="shared" si="132"/>
        <v>OTROS DESCUENTOS</v>
      </c>
      <c r="O675" s="4">
        <f t="shared" si="129"/>
        <v>56</v>
      </c>
      <c r="P675" s="4" t="s">
        <v>651</v>
      </c>
      <c r="Q675" s="4" t="str">
        <f t="shared" si="133"/>
        <v>2-1-0-13-30-15-056</v>
      </c>
      <c r="R675" s="4" t="str">
        <f t="shared" si="130"/>
        <v>REINT.COBRO INDEB. AJUSTE SAL. EMPLEADOS</v>
      </c>
    </row>
    <row r="676" spans="1:18" x14ac:dyDescent="0.2">
      <c r="A676" s="1">
        <v>2</v>
      </c>
      <c r="B676" s="6" t="str">
        <f>VLOOKUP(A676,'ACTIVOS CODIGO'!A:B,2,0)</f>
        <v>PASIVO</v>
      </c>
      <c r="C676" s="2">
        <v>1</v>
      </c>
      <c r="D676" s="7" t="str">
        <f>VLOOKUP(C676,'ACTIVOS CODIGO'!H:I,2,0)</f>
        <v>PASIVO DEL TESORO = PASIVO CORRIENTE</v>
      </c>
      <c r="E676" s="3"/>
      <c r="F676" s="8"/>
      <c r="G676" s="10">
        <v>133</v>
      </c>
      <c r="H676" s="10" t="str">
        <f>VLOOKUP(G676,'PUB 21'!$A$1:$B$29,2,0)</f>
        <v>DEPOSITOS DE TERCEROS</v>
      </c>
      <c r="I676"/>
      <c r="J676" s="4"/>
      <c r="K676">
        <v>15</v>
      </c>
      <c r="L676" s="4" t="s">
        <v>547</v>
      </c>
      <c r="M676" s="27" t="str">
        <f t="shared" si="131"/>
        <v>2-1-0-13-30-15</v>
      </c>
      <c r="N676" s="27" t="str">
        <f t="shared" si="132"/>
        <v>OTROS DESCUENTOS</v>
      </c>
      <c r="O676" s="4">
        <f t="shared" si="129"/>
        <v>57</v>
      </c>
      <c r="P676" s="4" t="s">
        <v>652</v>
      </c>
      <c r="Q676" s="4" t="str">
        <f t="shared" si="133"/>
        <v>2-1-0-13-30-15-057</v>
      </c>
      <c r="R676" s="4" t="str">
        <f t="shared" si="130"/>
        <v>REINT. COBRO INDEB.AUM.10% EMPLEADOS</v>
      </c>
    </row>
    <row r="677" spans="1:18" x14ac:dyDescent="0.2">
      <c r="A677" s="1">
        <v>2</v>
      </c>
      <c r="B677" s="6" t="str">
        <f>VLOOKUP(A677,'ACTIVOS CODIGO'!A:B,2,0)</f>
        <v>PASIVO</v>
      </c>
      <c r="C677" s="2">
        <v>1</v>
      </c>
      <c r="D677" s="7" t="str">
        <f>VLOOKUP(C677,'ACTIVOS CODIGO'!H:I,2,0)</f>
        <v>PASIVO DEL TESORO = PASIVO CORRIENTE</v>
      </c>
      <c r="E677" s="3"/>
      <c r="F677" s="8"/>
      <c r="G677" s="10">
        <v>133</v>
      </c>
      <c r="H677" s="10" t="str">
        <f>VLOOKUP(G677,'PUB 21'!$A$1:$B$29,2,0)</f>
        <v>DEPOSITOS DE TERCEROS</v>
      </c>
      <c r="I677"/>
      <c r="J677" s="4"/>
      <c r="K677">
        <v>15</v>
      </c>
      <c r="L677" s="4" t="s">
        <v>547</v>
      </c>
      <c r="M677" s="27" t="str">
        <f t="shared" si="131"/>
        <v>2-1-0-13-30-15</v>
      </c>
      <c r="N677" s="27" t="str">
        <f t="shared" si="132"/>
        <v>OTROS DESCUENTOS</v>
      </c>
      <c r="O677" s="4">
        <f t="shared" si="129"/>
        <v>58</v>
      </c>
      <c r="P677" s="4" t="s">
        <v>653</v>
      </c>
      <c r="Q677" s="4" t="str">
        <f t="shared" si="133"/>
        <v>2-1-0-13-30-15-058</v>
      </c>
      <c r="R677" s="4" t="str">
        <f t="shared" si="130"/>
        <v>REINTEGRO COBRO INDEB. PRIMA MERITO EMPLEADOS</v>
      </c>
    </row>
    <row r="678" spans="1:18" x14ac:dyDescent="0.2">
      <c r="A678" s="1">
        <v>2</v>
      </c>
      <c r="B678" s="6" t="str">
        <f>VLOOKUP(A678,'ACTIVOS CODIGO'!A:B,2,0)</f>
        <v>PASIVO</v>
      </c>
      <c r="C678" s="2">
        <v>1</v>
      </c>
      <c r="D678" s="7" t="str">
        <f>VLOOKUP(C678,'ACTIVOS CODIGO'!H:I,2,0)</f>
        <v>PASIVO DEL TESORO = PASIVO CORRIENTE</v>
      </c>
      <c r="E678" s="3"/>
      <c r="F678" s="8"/>
      <c r="G678" s="10">
        <v>133</v>
      </c>
      <c r="H678" s="10" t="str">
        <f>VLOOKUP(G678,'PUB 21'!$A$1:$B$29,2,0)</f>
        <v>DEPOSITOS DE TERCEROS</v>
      </c>
      <c r="I678"/>
      <c r="J678" s="4"/>
      <c r="K678">
        <v>15</v>
      </c>
      <c r="L678" s="4" t="s">
        <v>547</v>
      </c>
      <c r="M678" s="27" t="str">
        <f t="shared" si="131"/>
        <v>2-1-0-13-30-15</v>
      </c>
      <c r="N678" s="27" t="str">
        <f t="shared" si="132"/>
        <v>OTROS DESCUENTOS</v>
      </c>
      <c r="O678" s="4">
        <f t="shared" si="129"/>
        <v>59</v>
      </c>
      <c r="P678" s="4" t="s">
        <v>654</v>
      </c>
      <c r="Q678" s="4" t="str">
        <f t="shared" si="133"/>
        <v>2-1-0-13-30-15-059</v>
      </c>
      <c r="R678" s="4" t="str">
        <f t="shared" si="130"/>
        <v>REINT. BONO DE RESPONSABILIDAD EMPLEADOS</v>
      </c>
    </row>
    <row r="679" spans="1:18" x14ac:dyDescent="0.2">
      <c r="A679" s="1">
        <v>2</v>
      </c>
      <c r="B679" s="6" t="str">
        <f>VLOOKUP(A679,'ACTIVOS CODIGO'!A:B,2,0)</f>
        <v>PASIVO</v>
      </c>
      <c r="C679" s="2">
        <v>1</v>
      </c>
      <c r="D679" s="7" t="str">
        <f>VLOOKUP(C679,'ACTIVOS CODIGO'!H:I,2,0)</f>
        <v>PASIVO DEL TESORO = PASIVO CORRIENTE</v>
      </c>
      <c r="E679" s="3"/>
      <c r="F679" s="8"/>
      <c r="G679" s="10">
        <v>133</v>
      </c>
      <c r="H679" s="10" t="str">
        <f>VLOOKUP(G679,'PUB 21'!$A$1:$B$29,2,0)</f>
        <v>DEPOSITOS DE TERCEROS</v>
      </c>
      <c r="I679"/>
      <c r="J679" s="4"/>
      <c r="K679">
        <v>15</v>
      </c>
      <c r="L679" s="4" t="s">
        <v>547</v>
      </c>
      <c r="M679" s="27" t="str">
        <f t="shared" si="131"/>
        <v>2-1-0-13-30-15</v>
      </c>
      <c r="N679" s="27" t="str">
        <f t="shared" si="132"/>
        <v>OTROS DESCUENTOS</v>
      </c>
      <c r="O679" s="4">
        <f t="shared" si="129"/>
        <v>60</v>
      </c>
      <c r="P679" s="4" t="s">
        <v>655</v>
      </c>
      <c r="Q679" s="4" t="str">
        <f t="shared" si="133"/>
        <v>2-1-0-13-30-15-060</v>
      </c>
      <c r="R679" s="4" t="str">
        <f t="shared" si="130"/>
        <v>REINT. AUMT. MAYO EMPL. EMPLEADOS</v>
      </c>
    </row>
    <row r="680" spans="1:18" x14ac:dyDescent="0.2">
      <c r="A680" s="1">
        <v>2</v>
      </c>
      <c r="B680" s="6" t="str">
        <f>VLOOKUP(A680,'ACTIVOS CODIGO'!A:B,2,0)</f>
        <v>PASIVO</v>
      </c>
      <c r="C680" s="2">
        <v>1</v>
      </c>
      <c r="D680" s="7" t="str">
        <f>VLOOKUP(C680,'ACTIVOS CODIGO'!H:I,2,0)</f>
        <v>PASIVO DEL TESORO = PASIVO CORRIENTE</v>
      </c>
      <c r="E680" s="3"/>
      <c r="F680" s="8"/>
      <c r="G680" s="10">
        <v>133</v>
      </c>
      <c r="H680" s="10" t="str">
        <f>VLOOKUP(G680,'PUB 21'!$A$1:$B$29,2,0)</f>
        <v>DEPOSITOS DE TERCEROS</v>
      </c>
      <c r="I680"/>
      <c r="J680" s="4"/>
      <c r="K680">
        <v>15</v>
      </c>
      <c r="L680" s="4" t="s">
        <v>547</v>
      </c>
      <c r="M680" s="27" t="str">
        <f t="shared" si="131"/>
        <v>2-1-0-13-30-15</v>
      </c>
      <c r="N680" s="27" t="str">
        <f t="shared" si="132"/>
        <v>OTROS DESCUENTOS</v>
      </c>
      <c r="O680" s="4">
        <f t="shared" si="129"/>
        <v>61</v>
      </c>
      <c r="P680" s="4" t="s">
        <v>656</v>
      </c>
      <c r="Q680" s="4" t="str">
        <f t="shared" si="133"/>
        <v>2-1-0-13-30-15-061</v>
      </c>
      <c r="R680" s="4" t="str">
        <f t="shared" si="130"/>
        <v>REINT. COMP. MAYO EMPLEADOS</v>
      </c>
    </row>
    <row r="681" spans="1:18" x14ac:dyDescent="0.2">
      <c r="A681" s="1">
        <v>2</v>
      </c>
      <c r="B681" s="6" t="str">
        <f>VLOOKUP(A681,'ACTIVOS CODIGO'!A:B,2,0)</f>
        <v>PASIVO</v>
      </c>
      <c r="C681" s="2">
        <v>1</v>
      </c>
      <c r="D681" s="7" t="str">
        <f>VLOOKUP(C681,'ACTIVOS CODIGO'!H:I,2,0)</f>
        <v>PASIVO DEL TESORO = PASIVO CORRIENTE</v>
      </c>
      <c r="E681" s="3"/>
      <c r="F681" s="8"/>
      <c r="G681" s="10">
        <v>133</v>
      </c>
      <c r="H681" s="10" t="str">
        <f>VLOOKUP(G681,'PUB 21'!$A$1:$B$29,2,0)</f>
        <v>DEPOSITOS DE TERCEROS</v>
      </c>
      <c r="I681"/>
      <c r="J681" s="4"/>
      <c r="K681">
        <v>15</v>
      </c>
      <c r="L681" s="4" t="s">
        <v>547</v>
      </c>
      <c r="M681" s="27" t="str">
        <f t="shared" si="131"/>
        <v>2-1-0-13-30-15</v>
      </c>
      <c r="N681" s="27" t="str">
        <f t="shared" si="132"/>
        <v>OTROS DESCUENTOS</v>
      </c>
      <c r="O681" s="4">
        <f t="shared" si="129"/>
        <v>62</v>
      </c>
      <c r="P681" s="4" t="s">
        <v>657</v>
      </c>
      <c r="Q681" s="4" t="str">
        <f t="shared" si="133"/>
        <v>2-1-0-13-30-15-062</v>
      </c>
      <c r="R681" s="4" t="str">
        <f t="shared" si="130"/>
        <v>REINT. AUMT. JULIO EMPL. EMPLEADOS</v>
      </c>
    </row>
    <row r="682" spans="1:18" x14ac:dyDescent="0.2">
      <c r="A682" s="1">
        <v>2</v>
      </c>
      <c r="B682" s="6" t="str">
        <f>VLOOKUP(A682,'ACTIVOS CODIGO'!A:B,2,0)</f>
        <v>PASIVO</v>
      </c>
      <c r="C682" s="2">
        <v>1</v>
      </c>
      <c r="D682" s="7" t="str">
        <f>VLOOKUP(C682,'ACTIVOS CODIGO'!H:I,2,0)</f>
        <v>PASIVO DEL TESORO = PASIVO CORRIENTE</v>
      </c>
      <c r="E682" s="3"/>
      <c r="F682" s="8"/>
      <c r="G682" s="10">
        <v>133</v>
      </c>
      <c r="H682" s="10" t="str">
        <f>VLOOKUP(G682,'PUB 21'!$A$1:$B$29,2,0)</f>
        <v>DEPOSITOS DE TERCEROS</v>
      </c>
      <c r="I682"/>
      <c r="J682" s="4"/>
      <c r="K682">
        <v>15</v>
      </c>
      <c r="L682" s="4" t="s">
        <v>547</v>
      </c>
      <c r="M682" s="27" t="str">
        <f t="shared" si="131"/>
        <v>2-1-0-13-30-15</v>
      </c>
      <c r="N682" s="27" t="str">
        <f t="shared" si="132"/>
        <v>OTROS DESCUENTOS</v>
      </c>
      <c r="O682" s="4">
        <f t="shared" si="129"/>
        <v>63</v>
      </c>
      <c r="P682" s="4" t="s">
        <v>658</v>
      </c>
      <c r="Q682" s="4" t="str">
        <f t="shared" si="133"/>
        <v>2-1-0-13-30-15-063</v>
      </c>
      <c r="R682" s="4" t="str">
        <f t="shared" si="130"/>
        <v>REINT. COMP. JULIO EMPLEADOS</v>
      </c>
    </row>
    <row r="683" spans="1:18" x14ac:dyDescent="0.2">
      <c r="A683" s="1">
        <v>2</v>
      </c>
      <c r="B683" s="6" t="str">
        <f>VLOOKUP(A683,'ACTIVOS CODIGO'!A:B,2,0)</f>
        <v>PASIVO</v>
      </c>
      <c r="C683" s="2">
        <v>1</v>
      </c>
      <c r="D683" s="7" t="str">
        <f>VLOOKUP(C683,'ACTIVOS CODIGO'!H:I,2,0)</f>
        <v>PASIVO DEL TESORO = PASIVO CORRIENTE</v>
      </c>
      <c r="E683" s="3"/>
      <c r="F683" s="8"/>
      <c r="G683" s="10">
        <v>133</v>
      </c>
      <c r="H683" s="10" t="str">
        <f>VLOOKUP(G683,'PUB 21'!$A$1:$B$29,2,0)</f>
        <v>DEPOSITOS DE TERCEROS</v>
      </c>
      <c r="I683"/>
      <c r="J683" s="4"/>
      <c r="K683">
        <v>15</v>
      </c>
      <c r="L683" s="4" t="s">
        <v>547</v>
      </c>
      <c r="M683" s="27" t="str">
        <f t="shared" si="131"/>
        <v>2-1-0-13-30-15</v>
      </c>
      <c r="N683" s="27" t="str">
        <f t="shared" si="132"/>
        <v>OTROS DESCUENTOS</v>
      </c>
      <c r="O683" s="4">
        <f t="shared" si="129"/>
        <v>64</v>
      </c>
      <c r="P683" s="4" t="s">
        <v>659</v>
      </c>
      <c r="Q683" s="4" t="str">
        <f t="shared" si="133"/>
        <v>2-1-0-13-30-15-064</v>
      </c>
      <c r="R683" s="4" t="str">
        <f t="shared" si="130"/>
        <v>REINT. COBRO INDEB. RETRO HOMO EMPLEADOS</v>
      </c>
    </row>
    <row r="684" spans="1:18" x14ac:dyDescent="0.2">
      <c r="A684" s="1">
        <v>2</v>
      </c>
      <c r="B684" s="6" t="str">
        <f>VLOOKUP(A684,'ACTIVOS CODIGO'!A:B,2,0)</f>
        <v>PASIVO</v>
      </c>
      <c r="C684" s="2">
        <v>1</v>
      </c>
      <c r="D684" s="7" t="str">
        <f>VLOOKUP(C684,'ACTIVOS CODIGO'!H:I,2,0)</f>
        <v>PASIVO DEL TESORO = PASIVO CORRIENTE</v>
      </c>
      <c r="E684" s="3"/>
      <c r="F684" s="8"/>
      <c r="G684" s="10">
        <v>133</v>
      </c>
      <c r="H684" s="10" t="str">
        <f>VLOOKUP(G684,'PUB 21'!$A$1:$B$29,2,0)</f>
        <v>DEPOSITOS DE TERCEROS</v>
      </c>
      <c r="I684"/>
      <c r="J684" s="4"/>
      <c r="K684">
        <v>15</v>
      </c>
      <c r="L684" s="4" t="s">
        <v>547</v>
      </c>
      <c r="M684" s="27" t="str">
        <f t="shared" si="131"/>
        <v>2-1-0-13-30-15</v>
      </c>
      <c r="N684" s="27" t="str">
        <f t="shared" si="132"/>
        <v>OTROS DESCUENTOS</v>
      </c>
      <c r="O684" s="4">
        <f t="shared" si="129"/>
        <v>65</v>
      </c>
      <c r="P684" s="4" t="s">
        <v>660</v>
      </c>
      <c r="Q684" s="4" t="str">
        <f t="shared" si="133"/>
        <v>2-1-0-13-30-15-065</v>
      </c>
      <c r="R684" s="4" t="str">
        <f t="shared" si="130"/>
        <v>REINT. AUMT. 30% NOV. EMPLEADOS</v>
      </c>
    </row>
    <row r="685" spans="1:18" x14ac:dyDescent="0.2">
      <c r="A685" s="1">
        <v>2</v>
      </c>
      <c r="B685" s="6" t="str">
        <f>VLOOKUP(A685,'ACTIVOS CODIGO'!A:B,2,0)</f>
        <v>PASIVO</v>
      </c>
      <c r="C685" s="2">
        <v>1</v>
      </c>
      <c r="D685" s="7" t="str">
        <f>VLOOKUP(C685,'ACTIVOS CODIGO'!H:I,2,0)</f>
        <v>PASIVO DEL TESORO = PASIVO CORRIENTE</v>
      </c>
      <c r="E685" s="3"/>
      <c r="F685" s="8"/>
      <c r="G685" s="10">
        <v>133</v>
      </c>
      <c r="H685" s="10" t="str">
        <f>VLOOKUP(G685,'PUB 21'!$A$1:$B$29,2,0)</f>
        <v>DEPOSITOS DE TERCEROS</v>
      </c>
      <c r="I685"/>
      <c r="J685" s="4"/>
      <c r="K685">
        <v>15</v>
      </c>
      <c r="L685" s="4" t="s">
        <v>547</v>
      </c>
      <c r="M685" s="27" t="str">
        <f t="shared" si="131"/>
        <v>2-1-0-13-30-15</v>
      </c>
      <c r="N685" s="27" t="str">
        <f t="shared" si="132"/>
        <v>OTROS DESCUENTOS</v>
      </c>
      <c r="O685" s="4">
        <f t="shared" si="129"/>
        <v>66</v>
      </c>
      <c r="P685" s="4" t="s">
        <v>661</v>
      </c>
      <c r="Q685" s="4" t="str">
        <f t="shared" si="133"/>
        <v>2-1-0-13-30-15-066</v>
      </c>
      <c r="R685" s="4" t="str">
        <f t="shared" si="130"/>
        <v>REINT. OTRAS COMPENSACIONES EMPLEADOS</v>
      </c>
    </row>
    <row r="686" spans="1:18" x14ac:dyDescent="0.2">
      <c r="A686" s="1">
        <v>2</v>
      </c>
      <c r="B686" s="6" t="str">
        <f>VLOOKUP(A686,'ACTIVOS CODIGO'!A:B,2,0)</f>
        <v>PASIVO</v>
      </c>
      <c r="C686" s="2">
        <v>1</v>
      </c>
      <c r="D686" s="7" t="str">
        <f>VLOOKUP(C686,'ACTIVOS CODIGO'!H:I,2,0)</f>
        <v>PASIVO DEL TESORO = PASIVO CORRIENTE</v>
      </c>
      <c r="E686" s="3"/>
      <c r="F686" s="8"/>
      <c r="G686" s="10">
        <v>133</v>
      </c>
      <c r="H686" s="10" t="str">
        <f>VLOOKUP(G686,'PUB 21'!$A$1:$B$29,2,0)</f>
        <v>DEPOSITOS DE TERCEROS</v>
      </c>
      <c r="I686"/>
      <c r="J686" s="4"/>
      <c r="K686">
        <v>15</v>
      </c>
      <c r="L686" s="4" t="s">
        <v>547</v>
      </c>
      <c r="M686" s="27" t="str">
        <f t="shared" si="131"/>
        <v>2-1-0-13-30-15</v>
      </c>
      <c r="N686" s="27" t="str">
        <f t="shared" si="132"/>
        <v>OTROS DESCUENTOS</v>
      </c>
      <c r="O686" s="4">
        <f t="shared" si="129"/>
        <v>67</v>
      </c>
      <c r="P686" s="4" t="s">
        <v>662</v>
      </c>
      <c r="Q686" s="4" t="str">
        <f t="shared" si="133"/>
        <v>2-1-0-13-30-15-067</v>
      </c>
      <c r="R686" s="4" t="str">
        <f t="shared" si="130"/>
        <v>REINT. AUMENTO COMPENS. EMPLEADOS</v>
      </c>
    </row>
    <row r="687" spans="1:18" x14ac:dyDescent="0.2">
      <c r="A687" s="1">
        <v>2</v>
      </c>
      <c r="B687" s="6" t="str">
        <f>VLOOKUP(A687,'ACTIVOS CODIGO'!A:B,2,0)</f>
        <v>PASIVO</v>
      </c>
      <c r="C687" s="2">
        <v>1</v>
      </c>
      <c r="D687" s="7" t="str">
        <f>VLOOKUP(C687,'ACTIVOS CODIGO'!H:I,2,0)</f>
        <v>PASIVO DEL TESORO = PASIVO CORRIENTE</v>
      </c>
      <c r="E687" s="3"/>
      <c r="F687" s="8"/>
      <c r="G687" s="10">
        <v>133</v>
      </c>
      <c r="H687" s="10" t="str">
        <f>VLOOKUP(G687,'PUB 21'!$A$1:$B$29,2,0)</f>
        <v>DEPOSITOS DE TERCEROS</v>
      </c>
      <c r="I687"/>
      <c r="J687" s="4"/>
      <c r="K687">
        <v>15</v>
      </c>
      <c r="L687" s="4" t="s">
        <v>547</v>
      </c>
      <c r="M687" s="27" t="str">
        <f t="shared" si="131"/>
        <v>2-1-0-13-30-15</v>
      </c>
      <c r="N687" s="27" t="str">
        <f t="shared" si="132"/>
        <v>OTROS DESCUENTOS</v>
      </c>
      <c r="O687" s="4">
        <f t="shared" si="129"/>
        <v>68</v>
      </c>
      <c r="P687" s="4" t="s">
        <v>663</v>
      </c>
      <c r="Q687" s="4" t="str">
        <f t="shared" si="133"/>
        <v>2-1-0-13-30-15-068</v>
      </c>
      <c r="R687" s="4" t="str">
        <f t="shared" si="130"/>
        <v>REINTEGRO PRIMA PROTECCION DEL HOGAR EMPLEADOS</v>
      </c>
    </row>
    <row r="688" spans="1:18" x14ac:dyDescent="0.2">
      <c r="A688" s="1">
        <v>2</v>
      </c>
      <c r="B688" s="6" t="str">
        <f>VLOOKUP(A688,'ACTIVOS CODIGO'!A:B,2,0)</f>
        <v>PASIVO</v>
      </c>
      <c r="C688" s="2">
        <v>1</v>
      </c>
      <c r="D688" s="7" t="str">
        <f>VLOOKUP(C688,'ACTIVOS CODIGO'!H:I,2,0)</f>
        <v>PASIVO DEL TESORO = PASIVO CORRIENTE</v>
      </c>
      <c r="E688" s="3"/>
      <c r="F688" s="8"/>
      <c r="G688" s="10">
        <v>133</v>
      </c>
      <c r="H688" s="10" t="str">
        <f>VLOOKUP(G688,'PUB 21'!$A$1:$B$29,2,0)</f>
        <v>DEPOSITOS DE TERCEROS</v>
      </c>
      <c r="I688"/>
      <c r="J688" s="4"/>
      <c r="K688">
        <v>15</v>
      </c>
      <c r="L688" s="4" t="s">
        <v>547</v>
      </c>
      <c r="M688" s="27" t="str">
        <f t="shared" si="131"/>
        <v>2-1-0-13-30-15</v>
      </c>
      <c r="N688" s="27" t="str">
        <f t="shared" si="132"/>
        <v>OTROS DESCUENTOS</v>
      </c>
      <c r="O688" s="4">
        <f t="shared" si="129"/>
        <v>69</v>
      </c>
      <c r="P688" s="4" t="s">
        <v>664</v>
      </c>
      <c r="Q688" s="4" t="str">
        <f t="shared" si="133"/>
        <v>2-1-0-13-30-15-069</v>
      </c>
      <c r="R688" s="4" t="str">
        <f t="shared" si="130"/>
        <v>REINT.COBRO INDEB.SUELDO EMPLEADOS</v>
      </c>
    </row>
    <row r="689" spans="1:18" x14ac:dyDescent="0.2">
      <c r="A689" s="1">
        <v>2</v>
      </c>
      <c r="B689" s="6" t="str">
        <f>VLOOKUP(A689,'ACTIVOS CODIGO'!A:B,2,0)</f>
        <v>PASIVO</v>
      </c>
      <c r="C689" s="2">
        <v>1</v>
      </c>
      <c r="D689" s="7" t="str">
        <f>VLOOKUP(C689,'ACTIVOS CODIGO'!H:I,2,0)</f>
        <v>PASIVO DEL TESORO = PASIVO CORRIENTE</v>
      </c>
      <c r="E689" s="3"/>
      <c r="F689" s="8"/>
      <c r="G689" s="10">
        <v>133</v>
      </c>
      <c r="H689" s="10" t="str">
        <f>VLOOKUP(G689,'PUB 21'!$A$1:$B$29,2,0)</f>
        <v>DEPOSITOS DE TERCEROS</v>
      </c>
      <c r="I689"/>
      <c r="J689" s="4"/>
      <c r="K689">
        <v>15</v>
      </c>
      <c r="L689" s="4" t="s">
        <v>547</v>
      </c>
      <c r="M689" s="27" t="str">
        <f t="shared" si="131"/>
        <v>2-1-0-13-30-15</v>
      </c>
      <c r="N689" s="27" t="str">
        <f t="shared" si="132"/>
        <v>OTROS DESCUENTOS</v>
      </c>
      <c r="O689" s="4">
        <f t="shared" si="129"/>
        <v>70</v>
      </c>
      <c r="P689" s="4" t="s">
        <v>665</v>
      </c>
      <c r="Q689" s="4" t="str">
        <f t="shared" si="133"/>
        <v>2-1-0-13-30-15-070</v>
      </c>
      <c r="R689" s="4" t="str">
        <f t="shared" si="130"/>
        <v>REINT. PAGO INDEB. HORAS EXTRAS EMPLEADOS</v>
      </c>
    </row>
    <row r="690" spans="1:18" x14ac:dyDescent="0.2">
      <c r="A690" s="1">
        <v>2</v>
      </c>
      <c r="B690" s="6" t="str">
        <f>VLOOKUP(A690,'ACTIVOS CODIGO'!A:B,2,0)</f>
        <v>PASIVO</v>
      </c>
      <c r="C690" s="2">
        <v>1</v>
      </c>
      <c r="D690" s="7" t="str">
        <f>VLOOKUP(C690,'ACTIVOS CODIGO'!H:I,2,0)</f>
        <v>PASIVO DEL TESORO = PASIVO CORRIENTE</v>
      </c>
      <c r="E690" s="3"/>
      <c r="F690" s="8"/>
      <c r="G690" s="10">
        <v>133</v>
      </c>
      <c r="H690" s="10" t="str">
        <f>VLOOKUP(G690,'PUB 21'!$A$1:$B$29,2,0)</f>
        <v>DEPOSITOS DE TERCEROS</v>
      </c>
      <c r="I690"/>
      <c r="J690" s="4"/>
      <c r="K690">
        <v>15</v>
      </c>
      <c r="L690" s="4" t="s">
        <v>547</v>
      </c>
      <c r="M690" s="27" t="str">
        <f t="shared" si="131"/>
        <v>2-1-0-13-30-15</v>
      </c>
      <c r="N690" s="27" t="str">
        <f t="shared" si="132"/>
        <v>OTROS DESCUENTOS</v>
      </c>
      <c r="O690" s="4">
        <f t="shared" si="129"/>
        <v>71</v>
      </c>
      <c r="P690" s="4" t="s">
        <v>666</v>
      </c>
      <c r="Q690" s="4" t="str">
        <f t="shared" si="133"/>
        <v>2-1-0-13-30-15-071</v>
      </c>
      <c r="R690" s="4" t="str">
        <f t="shared" si="130"/>
        <v>REINT. COBRO INDB. COMP. EMPLEADOS</v>
      </c>
    </row>
    <row r="691" spans="1:18" x14ac:dyDescent="0.2">
      <c r="A691" s="1">
        <v>2</v>
      </c>
      <c r="B691" s="6" t="str">
        <f>VLOOKUP(A691,'ACTIVOS CODIGO'!A:B,2,0)</f>
        <v>PASIVO</v>
      </c>
      <c r="C691" s="2">
        <v>1</v>
      </c>
      <c r="D691" s="7" t="str">
        <f>VLOOKUP(C691,'ACTIVOS CODIGO'!H:I,2,0)</f>
        <v>PASIVO DEL TESORO = PASIVO CORRIENTE</v>
      </c>
      <c r="E691" s="3"/>
      <c r="F691" s="8"/>
      <c r="G691" s="10">
        <v>133</v>
      </c>
      <c r="H691" s="10" t="str">
        <f>VLOOKUP(G691,'PUB 21'!$A$1:$B$29,2,0)</f>
        <v>DEPOSITOS DE TERCEROS</v>
      </c>
      <c r="I691"/>
      <c r="J691" s="4"/>
      <c r="K691">
        <v>15</v>
      </c>
      <c r="L691" s="4" t="s">
        <v>547</v>
      </c>
      <c r="M691" s="27" t="str">
        <f t="shared" si="131"/>
        <v>2-1-0-13-30-15</v>
      </c>
      <c r="N691" s="27" t="str">
        <f t="shared" si="132"/>
        <v>OTROS DESCUENTOS</v>
      </c>
      <c r="O691" s="4">
        <f t="shared" si="129"/>
        <v>72</v>
      </c>
      <c r="P691" s="4" t="s">
        <v>667</v>
      </c>
      <c r="Q691" s="4" t="str">
        <f t="shared" si="133"/>
        <v>2-1-0-13-30-15-072</v>
      </c>
      <c r="R691" s="4" t="str">
        <f t="shared" si="130"/>
        <v>REINTE. PAGO INDEBIDO DIAS FERIADO EMPLEADOS</v>
      </c>
    </row>
    <row r="692" spans="1:18" x14ac:dyDescent="0.2">
      <c r="A692" s="1">
        <v>2</v>
      </c>
      <c r="B692" s="6" t="str">
        <f>VLOOKUP(A692,'ACTIVOS CODIGO'!A:B,2,0)</f>
        <v>PASIVO</v>
      </c>
      <c r="C692" s="2">
        <v>1</v>
      </c>
      <c r="D692" s="7" t="str">
        <f>VLOOKUP(C692,'ACTIVOS CODIGO'!H:I,2,0)</f>
        <v>PASIVO DEL TESORO = PASIVO CORRIENTE</v>
      </c>
      <c r="E692" s="3"/>
      <c r="F692" s="8"/>
      <c r="G692" s="10">
        <v>133</v>
      </c>
      <c r="H692" s="10" t="str">
        <f>VLOOKUP(G692,'PUB 21'!$A$1:$B$29,2,0)</f>
        <v>DEPOSITOS DE TERCEROS</v>
      </c>
      <c r="I692"/>
      <c r="J692" s="4"/>
      <c r="K692">
        <v>15</v>
      </c>
      <c r="L692" s="4" t="s">
        <v>547</v>
      </c>
      <c r="M692" s="27" t="str">
        <f t="shared" si="131"/>
        <v>2-1-0-13-30-15</v>
      </c>
      <c r="N692" s="27" t="str">
        <f t="shared" si="132"/>
        <v>OTROS DESCUENTOS</v>
      </c>
      <c r="O692" s="4">
        <f t="shared" si="129"/>
        <v>73</v>
      </c>
      <c r="P692" s="4" t="s">
        <v>668</v>
      </c>
      <c r="Q692" s="4" t="str">
        <f t="shared" si="133"/>
        <v>2-1-0-13-30-15-073</v>
      </c>
      <c r="R692" s="4" t="str">
        <f t="shared" si="130"/>
        <v>REINT. INDEB. BONO NOCT. FIJO OBREROS</v>
      </c>
    </row>
    <row r="693" spans="1:18" x14ac:dyDescent="0.2">
      <c r="A693" s="1">
        <v>2</v>
      </c>
      <c r="B693" s="6" t="str">
        <f>VLOOKUP(A693,'ACTIVOS CODIGO'!A:B,2,0)</f>
        <v>PASIVO</v>
      </c>
      <c r="C693" s="2">
        <v>1</v>
      </c>
      <c r="D693" s="7" t="str">
        <f>VLOOKUP(C693,'ACTIVOS CODIGO'!H:I,2,0)</f>
        <v>PASIVO DEL TESORO = PASIVO CORRIENTE</v>
      </c>
      <c r="E693" s="3"/>
      <c r="F693" s="8"/>
      <c r="G693" s="10">
        <v>133</v>
      </c>
      <c r="H693" s="10" t="str">
        <f>VLOOKUP(G693,'PUB 21'!$A$1:$B$29,2,0)</f>
        <v>DEPOSITOS DE TERCEROS</v>
      </c>
      <c r="I693"/>
      <c r="J693" s="4"/>
      <c r="K693">
        <v>15</v>
      </c>
      <c r="L693" s="4" t="s">
        <v>547</v>
      </c>
      <c r="M693" s="27" t="str">
        <f t="shared" si="131"/>
        <v>2-1-0-13-30-15</v>
      </c>
      <c r="N693" s="27" t="str">
        <f t="shared" si="132"/>
        <v>OTROS DESCUENTOS</v>
      </c>
      <c r="O693" s="4">
        <f t="shared" si="129"/>
        <v>74</v>
      </c>
      <c r="P693" s="4" t="s">
        <v>669</v>
      </c>
      <c r="Q693" s="4" t="str">
        <f t="shared" si="133"/>
        <v>2-1-0-13-30-15-074</v>
      </c>
      <c r="R693" s="4" t="str">
        <f t="shared" si="130"/>
        <v>REINT. COBRO INDEB. PRIMA POR HIJO OBREROS</v>
      </c>
    </row>
    <row r="694" spans="1:18" x14ac:dyDescent="0.2">
      <c r="A694" s="1">
        <v>2</v>
      </c>
      <c r="B694" s="6" t="str">
        <f>VLOOKUP(A694,'ACTIVOS CODIGO'!A:B,2,0)</f>
        <v>PASIVO</v>
      </c>
      <c r="C694" s="2">
        <v>1</v>
      </c>
      <c r="D694" s="7" t="str">
        <f>VLOOKUP(C694,'ACTIVOS CODIGO'!H:I,2,0)</f>
        <v>PASIVO DEL TESORO = PASIVO CORRIENTE</v>
      </c>
      <c r="E694" s="3"/>
      <c r="F694" s="8"/>
      <c r="G694" s="10">
        <v>133</v>
      </c>
      <c r="H694" s="10" t="str">
        <f>VLOOKUP(G694,'PUB 21'!$A$1:$B$29,2,0)</f>
        <v>DEPOSITOS DE TERCEROS</v>
      </c>
      <c r="I694"/>
      <c r="J694" s="4"/>
      <c r="K694">
        <v>15</v>
      </c>
      <c r="L694" s="4" t="s">
        <v>547</v>
      </c>
      <c r="M694" s="27" t="str">
        <f t="shared" si="131"/>
        <v>2-1-0-13-30-15</v>
      </c>
      <c r="N694" s="27" t="str">
        <f t="shared" si="132"/>
        <v>OTROS DESCUENTOS</v>
      </c>
      <c r="O694" s="4">
        <f t="shared" si="129"/>
        <v>75</v>
      </c>
      <c r="P694" s="4" t="s">
        <v>670</v>
      </c>
      <c r="Q694" s="4" t="str">
        <f t="shared" si="133"/>
        <v>2-1-0-13-30-15-075</v>
      </c>
      <c r="R694" s="4" t="str">
        <f t="shared" si="130"/>
        <v>REINT. COBRO INDEB PRIMA/ OBREROS</v>
      </c>
    </row>
    <row r="695" spans="1:18" x14ac:dyDescent="0.2">
      <c r="A695" s="1">
        <v>2</v>
      </c>
      <c r="B695" s="6" t="str">
        <f>VLOOKUP(A695,'ACTIVOS CODIGO'!A:B,2,0)</f>
        <v>PASIVO</v>
      </c>
      <c r="C695" s="2">
        <v>1</v>
      </c>
      <c r="D695" s="7" t="str">
        <f>VLOOKUP(C695,'ACTIVOS CODIGO'!H:I,2,0)</f>
        <v>PASIVO DEL TESORO = PASIVO CORRIENTE</v>
      </c>
      <c r="E695" s="3"/>
      <c r="F695" s="8"/>
      <c r="G695" s="10">
        <v>133</v>
      </c>
      <c r="H695" s="10" t="str">
        <f>VLOOKUP(G695,'PUB 21'!$A$1:$B$29,2,0)</f>
        <v>DEPOSITOS DE TERCEROS</v>
      </c>
      <c r="I695"/>
      <c r="J695" s="4"/>
      <c r="K695">
        <v>15</v>
      </c>
      <c r="L695" s="4" t="s">
        <v>547</v>
      </c>
      <c r="M695" s="27" t="str">
        <f t="shared" si="131"/>
        <v>2-1-0-13-30-15</v>
      </c>
      <c r="N695" s="27" t="str">
        <f t="shared" si="132"/>
        <v>OTROS DESCUENTOS</v>
      </c>
      <c r="O695" s="4">
        <f t="shared" si="129"/>
        <v>76</v>
      </c>
      <c r="P695" s="4" t="s">
        <v>671</v>
      </c>
      <c r="Q695" s="4" t="str">
        <f t="shared" si="133"/>
        <v>2-1-0-13-30-15-076</v>
      </c>
      <c r="R695" s="4" t="str">
        <f t="shared" si="130"/>
        <v>REINT. BONO VACACIONAL OBREROS</v>
      </c>
    </row>
    <row r="696" spans="1:18" x14ac:dyDescent="0.2">
      <c r="A696" s="1">
        <v>2</v>
      </c>
      <c r="B696" s="6" t="str">
        <f>VLOOKUP(A696,'ACTIVOS CODIGO'!A:B,2,0)</f>
        <v>PASIVO</v>
      </c>
      <c r="C696" s="2">
        <v>1</v>
      </c>
      <c r="D696" s="7" t="str">
        <f>VLOOKUP(C696,'ACTIVOS CODIGO'!H:I,2,0)</f>
        <v>PASIVO DEL TESORO = PASIVO CORRIENTE</v>
      </c>
      <c r="E696" s="3"/>
      <c r="F696" s="8"/>
      <c r="G696" s="10">
        <v>133</v>
      </c>
      <c r="H696" s="10" t="str">
        <f>VLOOKUP(G696,'PUB 21'!$A$1:$B$29,2,0)</f>
        <v>DEPOSITOS DE TERCEROS</v>
      </c>
      <c r="I696"/>
      <c r="J696" s="4"/>
      <c r="K696">
        <v>15</v>
      </c>
      <c r="L696" s="4" t="s">
        <v>547</v>
      </c>
      <c r="M696" s="27" t="str">
        <f t="shared" si="131"/>
        <v>2-1-0-13-30-15</v>
      </c>
      <c r="N696" s="27" t="str">
        <f t="shared" si="132"/>
        <v>OTROS DESCUENTOS</v>
      </c>
      <c r="O696" s="4">
        <f t="shared" si="129"/>
        <v>77</v>
      </c>
      <c r="P696" s="4" t="s">
        <v>672</v>
      </c>
      <c r="Q696" s="4" t="str">
        <f t="shared" si="133"/>
        <v>2-1-0-13-30-15-077</v>
      </c>
      <c r="R696" s="4" t="str">
        <f t="shared" si="130"/>
        <v>REINT. SUELDO INDEB OBREROS</v>
      </c>
    </row>
    <row r="697" spans="1:18" x14ac:dyDescent="0.2">
      <c r="A697" s="1">
        <v>2</v>
      </c>
      <c r="B697" s="6" t="str">
        <f>VLOOKUP(A697,'ACTIVOS CODIGO'!A:B,2,0)</f>
        <v>PASIVO</v>
      </c>
      <c r="C697" s="2">
        <v>1</v>
      </c>
      <c r="D697" s="7" t="str">
        <f>VLOOKUP(C697,'ACTIVOS CODIGO'!H:I,2,0)</f>
        <v>PASIVO DEL TESORO = PASIVO CORRIENTE</v>
      </c>
      <c r="E697" s="3"/>
      <c r="F697" s="8"/>
      <c r="G697" s="10">
        <v>133</v>
      </c>
      <c r="H697" s="10" t="str">
        <f>VLOOKUP(G697,'PUB 21'!$A$1:$B$29,2,0)</f>
        <v>DEPOSITOS DE TERCEROS</v>
      </c>
      <c r="I697"/>
      <c r="J697" s="4"/>
      <c r="K697">
        <v>15</v>
      </c>
      <c r="L697" s="4" t="s">
        <v>547</v>
      </c>
      <c r="M697" s="27" t="str">
        <f t="shared" si="131"/>
        <v>2-1-0-13-30-15</v>
      </c>
      <c r="N697" s="27" t="str">
        <f t="shared" si="132"/>
        <v>OTROS DESCUENTOS</v>
      </c>
      <c r="O697" s="4">
        <f t="shared" ref="O697:O760" si="134">IF(P697="",0,IF(M696=M697,IF(O696="",0,O696)+1,""))</f>
        <v>78</v>
      </c>
      <c r="P697" s="4" t="s">
        <v>675</v>
      </c>
      <c r="Q697" s="4" t="str">
        <f t="shared" si="133"/>
        <v>2-1-0-13-30-15-078</v>
      </c>
      <c r="R697" s="4" t="str">
        <f t="shared" si="130"/>
        <v>SERVICIO FUNERARIO OBREROS</v>
      </c>
    </row>
    <row r="698" spans="1:18" x14ac:dyDescent="0.2">
      <c r="A698" s="1">
        <v>2</v>
      </c>
      <c r="B698" s="6" t="str">
        <f>VLOOKUP(A698,'ACTIVOS CODIGO'!A:B,2,0)</f>
        <v>PASIVO</v>
      </c>
      <c r="C698" s="2">
        <v>1</v>
      </c>
      <c r="D698" s="7" t="str">
        <f>VLOOKUP(C698,'ACTIVOS CODIGO'!H:I,2,0)</f>
        <v>PASIVO DEL TESORO = PASIVO CORRIENTE</v>
      </c>
      <c r="E698" s="3"/>
      <c r="F698" s="8"/>
      <c r="G698" s="10">
        <v>133</v>
      </c>
      <c r="H698" s="10" t="str">
        <f>VLOOKUP(G698,'PUB 21'!$A$1:$B$29,2,0)</f>
        <v>DEPOSITOS DE TERCEROS</v>
      </c>
      <c r="I698"/>
      <c r="J698" s="4"/>
      <c r="K698">
        <v>15</v>
      </c>
      <c r="L698" s="4" t="s">
        <v>547</v>
      </c>
      <c r="M698" s="27" t="str">
        <f t="shared" si="131"/>
        <v>2-1-0-13-30-15</v>
      </c>
      <c r="N698" s="27" t="str">
        <f t="shared" si="132"/>
        <v>OTROS DESCUENTOS</v>
      </c>
      <c r="O698" s="4">
        <f t="shared" si="134"/>
        <v>79</v>
      </c>
      <c r="P698" s="4" t="s">
        <v>676</v>
      </c>
      <c r="Q698" s="4" t="str">
        <f t="shared" si="133"/>
        <v>2-1-0-13-30-15-079</v>
      </c>
      <c r="R698" s="4" t="str">
        <f t="shared" si="130"/>
        <v>PRESTAMO CORTO PLAZO A OBREROS</v>
      </c>
    </row>
    <row r="699" spans="1:18" x14ac:dyDescent="0.2">
      <c r="A699" s="1">
        <v>2</v>
      </c>
      <c r="B699" s="6" t="str">
        <f>VLOOKUP(A699,'ACTIVOS CODIGO'!A:B,2,0)</f>
        <v>PASIVO</v>
      </c>
      <c r="C699" s="2">
        <v>1</v>
      </c>
      <c r="D699" s="7" t="str">
        <f>VLOOKUP(C699,'ACTIVOS CODIGO'!H:I,2,0)</f>
        <v>PASIVO DEL TESORO = PASIVO CORRIENTE</v>
      </c>
      <c r="E699" s="3"/>
      <c r="F699" s="8"/>
      <c r="G699" s="10">
        <v>133</v>
      </c>
      <c r="H699" s="10" t="str">
        <f>VLOOKUP(G699,'PUB 21'!$A$1:$B$29,2,0)</f>
        <v>DEPOSITOS DE TERCEROS</v>
      </c>
      <c r="I699"/>
      <c r="J699" s="4"/>
      <c r="K699">
        <v>15</v>
      </c>
      <c r="L699" s="4" t="s">
        <v>547</v>
      </c>
      <c r="M699" s="27" t="str">
        <f t="shared" si="131"/>
        <v>2-1-0-13-30-15</v>
      </c>
      <c r="N699" s="27" t="str">
        <f t="shared" si="132"/>
        <v>OTROS DESCUENTOS</v>
      </c>
      <c r="O699" s="4">
        <f t="shared" si="134"/>
        <v>80</v>
      </c>
      <c r="P699" s="4" t="s">
        <v>677</v>
      </c>
      <c r="Q699" s="4" t="str">
        <f t="shared" si="133"/>
        <v>2-1-0-13-30-15-080</v>
      </c>
      <c r="R699" s="4" t="str">
        <f t="shared" ref="R699:R762" si="135">IF(P699="",IF(L699="",IF(J699="",IF(H699="",IF(F699="",IF(D699="",B699,D699),F699),H699),J699),L699),P699)</f>
        <v>PRESTAMO COMERCIAL A OBREROS</v>
      </c>
    </row>
    <row r="700" spans="1:18" x14ac:dyDescent="0.2">
      <c r="A700" s="1">
        <v>2</v>
      </c>
      <c r="B700" s="6" t="str">
        <f>VLOOKUP(A700,'ACTIVOS CODIGO'!A:B,2,0)</f>
        <v>PASIVO</v>
      </c>
      <c r="C700" s="2">
        <v>1</v>
      </c>
      <c r="D700" s="7" t="str">
        <f>VLOOKUP(C700,'ACTIVOS CODIGO'!H:I,2,0)</f>
        <v>PASIVO DEL TESORO = PASIVO CORRIENTE</v>
      </c>
      <c r="E700" s="3"/>
      <c r="F700" s="8"/>
      <c r="G700" s="10">
        <v>133</v>
      </c>
      <c r="H700" s="10" t="str">
        <f>VLOOKUP(G700,'PUB 21'!$A$1:$B$29,2,0)</f>
        <v>DEPOSITOS DE TERCEROS</v>
      </c>
      <c r="I700"/>
      <c r="J700" s="4"/>
      <c r="K700">
        <v>15</v>
      </c>
      <c r="L700" s="4" t="s">
        <v>547</v>
      </c>
      <c r="M700" s="27" t="str">
        <f t="shared" ref="M700:M763" si="136">CONCATENATE(TEXT(A700,"0"),"-",TEXT(C700,"0"),"-",TEXT(E700,"0"),"-",TEXT(LEFT(G700,2),"00"),"-",TEXT(RIGHT(G700,1),"0"),TEXT(I700,"0"),"-",TEXT(K700,"00"))</f>
        <v>2-1-0-13-30-15</v>
      </c>
      <c r="N700" s="27" t="str">
        <f t="shared" ref="N700:N763" si="137">IF(L700="",IF(J700="",IF(H700="",IF(F700="",IF(D700="",B700,D700),F700),H700),J700),L700)</f>
        <v>OTROS DESCUENTOS</v>
      </c>
      <c r="O700" s="4">
        <f t="shared" si="134"/>
        <v>81</v>
      </c>
      <c r="P700" s="4" t="s">
        <v>678</v>
      </c>
      <c r="Q700" s="4" t="str">
        <f t="shared" si="133"/>
        <v>2-1-0-13-30-15-081</v>
      </c>
      <c r="R700" s="4" t="str">
        <f t="shared" si="135"/>
        <v>PRESTAMO COMERCIAL B OBREROS</v>
      </c>
    </row>
    <row r="701" spans="1:18" x14ac:dyDescent="0.2">
      <c r="A701" s="1">
        <v>2</v>
      </c>
      <c r="B701" s="6" t="str">
        <f>VLOOKUP(A701,'ACTIVOS CODIGO'!A:B,2,0)</f>
        <v>PASIVO</v>
      </c>
      <c r="C701" s="2">
        <v>1</v>
      </c>
      <c r="D701" s="7" t="str">
        <f>VLOOKUP(C701,'ACTIVOS CODIGO'!H:I,2,0)</f>
        <v>PASIVO DEL TESORO = PASIVO CORRIENTE</v>
      </c>
      <c r="E701" s="3"/>
      <c r="F701" s="8"/>
      <c r="G701" s="10">
        <v>133</v>
      </c>
      <c r="H701" s="10" t="str">
        <f>VLOOKUP(G701,'PUB 21'!$A$1:$B$29,2,0)</f>
        <v>DEPOSITOS DE TERCEROS</v>
      </c>
      <c r="I701"/>
      <c r="J701" s="4"/>
      <c r="K701">
        <v>15</v>
      </c>
      <c r="L701" s="4" t="s">
        <v>547</v>
      </c>
      <c r="M701" s="27" t="str">
        <f t="shared" si="136"/>
        <v>2-1-0-13-30-15</v>
      </c>
      <c r="N701" s="27" t="str">
        <f t="shared" si="137"/>
        <v>OTROS DESCUENTOS</v>
      </c>
      <c r="O701" s="4">
        <f t="shared" si="134"/>
        <v>82</v>
      </c>
      <c r="P701" s="4" t="s">
        <v>679</v>
      </c>
      <c r="Q701" s="4" t="str">
        <f t="shared" si="133"/>
        <v>2-1-0-13-30-15-082</v>
      </c>
      <c r="R701" s="4" t="str">
        <f t="shared" si="135"/>
        <v>SERV. FUNERARIOS OBREROS OBREROS</v>
      </c>
    </row>
    <row r="702" spans="1:18" x14ac:dyDescent="0.2">
      <c r="A702" s="1">
        <v>2</v>
      </c>
      <c r="B702" s="6" t="str">
        <f>VLOOKUP(A702,'ACTIVOS CODIGO'!A:B,2,0)</f>
        <v>PASIVO</v>
      </c>
      <c r="C702" s="2">
        <v>1</v>
      </c>
      <c r="D702" s="7" t="str">
        <f>VLOOKUP(C702,'ACTIVOS CODIGO'!H:I,2,0)</f>
        <v>PASIVO DEL TESORO = PASIVO CORRIENTE</v>
      </c>
      <c r="E702" s="3"/>
      <c r="F702" s="8"/>
      <c r="G702" s="10">
        <v>133</v>
      </c>
      <c r="H702" s="10" t="str">
        <f>VLOOKUP(G702,'PUB 21'!$A$1:$B$29,2,0)</f>
        <v>DEPOSITOS DE TERCEROS</v>
      </c>
      <c r="I702"/>
      <c r="J702" s="4"/>
      <c r="K702">
        <v>15</v>
      </c>
      <c r="L702" s="4" t="s">
        <v>547</v>
      </c>
      <c r="M702" s="27" t="str">
        <f t="shared" si="136"/>
        <v>2-1-0-13-30-15</v>
      </c>
      <c r="N702" s="27" t="str">
        <f t="shared" si="137"/>
        <v>OTROS DESCUENTOS</v>
      </c>
      <c r="O702" s="4">
        <f t="shared" si="134"/>
        <v>83</v>
      </c>
      <c r="P702" s="4" t="s">
        <v>680</v>
      </c>
      <c r="Q702" s="4" t="str">
        <f t="shared" si="133"/>
        <v>2-1-0-13-30-15-083</v>
      </c>
      <c r="R702" s="4" t="str">
        <f t="shared" si="135"/>
        <v>APORTE PREST. AFILIADO OBRERO OBREROS</v>
      </c>
    </row>
    <row r="703" spans="1:18" x14ac:dyDescent="0.2">
      <c r="A703" s="1">
        <v>2</v>
      </c>
      <c r="B703" s="6" t="str">
        <f>VLOOKUP(A703,'ACTIVOS CODIGO'!A:B,2,0)</f>
        <v>PASIVO</v>
      </c>
      <c r="C703" s="2">
        <v>1</v>
      </c>
      <c r="D703" s="7" t="str">
        <f>VLOOKUP(C703,'ACTIVOS CODIGO'!H:I,2,0)</f>
        <v>PASIVO DEL TESORO = PASIVO CORRIENTE</v>
      </c>
      <c r="E703" s="3"/>
      <c r="F703" s="8"/>
      <c r="G703" s="10">
        <v>133</v>
      </c>
      <c r="H703" s="10" t="str">
        <f>VLOOKUP(G703,'PUB 21'!$A$1:$B$29,2,0)</f>
        <v>DEPOSITOS DE TERCEROS</v>
      </c>
      <c r="I703"/>
      <c r="J703" s="4"/>
      <c r="K703">
        <v>15</v>
      </c>
      <c r="L703" s="4" t="s">
        <v>547</v>
      </c>
      <c r="M703" s="27" t="str">
        <f t="shared" si="136"/>
        <v>2-1-0-13-30-15</v>
      </c>
      <c r="N703" s="27" t="str">
        <f t="shared" si="137"/>
        <v>OTROS DESCUENTOS</v>
      </c>
      <c r="O703" s="4">
        <f t="shared" si="134"/>
        <v>84</v>
      </c>
      <c r="P703" s="4" t="s">
        <v>681</v>
      </c>
      <c r="Q703" s="4" t="str">
        <f t="shared" si="133"/>
        <v>2-1-0-13-30-15-084</v>
      </c>
      <c r="R703" s="4" t="str">
        <f t="shared" si="135"/>
        <v>DESC. PRESTAMOS OBREROS OBREROS</v>
      </c>
    </row>
    <row r="704" spans="1:18" x14ac:dyDescent="0.2">
      <c r="A704" s="1">
        <v>2</v>
      </c>
      <c r="B704" s="6" t="str">
        <f>VLOOKUP(A704,'ACTIVOS CODIGO'!A:B,2,0)</f>
        <v>PASIVO</v>
      </c>
      <c r="C704" s="2">
        <v>1</v>
      </c>
      <c r="D704" s="7" t="str">
        <f>VLOOKUP(C704,'ACTIVOS CODIGO'!H:I,2,0)</f>
        <v>PASIVO DEL TESORO = PASIVO CORRIENTE</v>
      </c>
      <c r="E704" s="3"/>
      <c r="F704" s="8"/>
      <c r="G704" s="10">
        <v>133</v>
      </c>
      <c r="H704" s="10" t="str">
        <f>VLOOKUP(G704,'PUB 21'!$A$1:$B$29,2,0)</f>
        <v>DEPOSITOS DE TERCEROS</v>
      </c>
      <c r="I704"/>
      <c r="J704" s="4"/>
      <c r="K704">
        <v>15</v>
      </c>
      <c r="L704" s="4" t="s">
        <v>547</v>
      </c>
      <c r="M704" s="27" t="str">
        <f t="shared" si="136"/>
        <v>2-1-0-13-30-15</v>
      </c>
      <c r="N704" s="27" t="str">
        <f t="shared" si="137"/>
        <v>OTROS DESCUENTOS</v>
      </c>
      <c r="O704" s="4">
        <f t="shared" si="134"/>
        <v>85</v>
      </c>
      <c r="P704" s="4" t="s">
        <v>682</v>
      </c>
      <c r="Q704" s="4" t="str">
        <f t="shared" si="133"/>
        <v>2-1-0-13-30-15-085</v>
      </c>
      <c r="R704" s="4" t="str">
        <f t="shared" si="135"/>
        <v>FONDO NAVIDEÑO OBREROS</v>
      </c>
    </row>
    <row r="705" spans="1:18" x14ac:dyDescent="0.2">
      <c r="A705" s="1">
        <v>2</v>
      </c>
      <c r="B705" s="6" t="str">
        <f>VLOOKUP(A705,'ACTIVOS CODIGO'!A:B,2,0)</f>
        <v>PASIVO</v>
      </c>
      <c r="C705" s="2">
        <v>1</v>
      </c>
      <c r="D705" s="7" t="str">
        <f>VLOOKUP(C705,'ACTIVOS CODIGO'!H:I,2,0)</f>
        <v>PASIVO DEL TESORO = PASIVO CORRIENTE</v>
      </c>
      <c r="E705" s="3"/>
      <c r="F705" s="8"/>
      <c r="G705" s="10">
        <v>133</v>
      </c>
      <c r="H705" s="10" t="str">
        <f>VLOOKUP(G705,'PUB 21'!$A$1:$B$29,2,0)</f>
        <v>DEPOSITOS DE TERCEROS</v>
      </c>
      <c r="I705"/>
      <c r="J705" s="4"/>
      <c r="K705">
        <v>15</v>
      </c>
      <c r="L705" s="4" t="s">
        <v>547</v>
      </c>
      <c r="M705" s="27" t="str">
        <f t="shared" si="136"/>
        <v>2-1-0-13-30-15</v>
      </c>
      <c r="N705" s="27" t="str">
        <f t="shared" si="137"/>
        <v>OTROS DESCUENTOS</v>
      </c>
      <c r="O705" s="4">
        <f t="shared" si="134"/>
        <v>86</v>
      </c>
      <c r="P705" s="4" t="s">
        <v>683</v>
      </c>
      <c r="Q705" s="4" t="str">
        <f t="shared" si="133"/>
        <v>2-1-0-13-30-15-086</v>
      </c>
      <c r="R705" s="4" t="str">
        <f t="shared" si="135"/>
        <v>POLIZA OBREROS</v>
      </c>
    </row>
    <row r="706" spans="1:18" x14ac:dyDescent="0.2">
      <c r="A706" s="1">
        <v>2</v>
      </c>
      <c r="B706" s="6" t="str">
        <f>VLOOKUP(A706,'ACTIVOS CODIGO'!A:B,2,0)</f>
        <v>PASIVO</v>
      </c>
      <c r="C706" s="2">
        <v>1</v>
      </c>
      <c r="D706" s="7" t="str">
        <f>VLOOKUP(C706,'ACTIVOS CODIGO'!H:I,2,0)</f>
        <v>PASIVO DEL TESORO = PASIVO CORRIENTE</v>
      </c>
      <c r="E706" s="3"/>
      <c r="F706" s="8"/>
      <c r="G706" s="10">
        <v>133</v>
      </c>
      <c r="H706" s="10" t="str">
        <f>VLOOKUP(G706,'PUB 21'!$A$1:$B$29,2,0)</f>
        <v>DEPOSITOS DE TERCEROS</v>
      </c>
      <c r="I706"/>
      <c r="J706" s="4"/>
      <c r="K706">
        <v>15</v>
      </c>
      <c r="L706" s="4" t="s">
        <v>547</v>
      </c>
      <c r="M706" s="27" t="str">
        <f t="shared" si="136"/>
        <v>2-1-0-13-30-15</v>
      </c>
      <c r="N706" s="27" t="str">
        <f t="shared" si="137"/>
        <v>OTROS DESCUENTOS</v>
      </c>
      <c r="O706" s="4">
        <f t="shared" si="134"/>
        <v>87</v>
      </c>
      <c r="P706" s="4" t="s">
        <v>684</v>
      </c>
      <c r="Q706" s="4" t="str">
        <f t="shared" si="133"/>
        <v>2-1-0-13-30-15-087</v>
      </c>
      <c r="R706" s="4" t="str">
        <f t="shared" si="135"/>
        <v>FINANCIAMIENTO BANCARIO OBREROS</v>
      </c>
    </row>
    <row r="707" spans="1:18" x14ac:dyDescent="0.2">
      <c r="A707" s="1">
        <v>2</v>
      </c>
      <c r="B707" s="6" t="str">
        <f>VLOOKUP(A707,'ACTIVOS CODIGO'!A:B,2,0)</f>
        <v>PASIVO</v>
      </c>
      <c r="C707" s="2">
        <v>1</v>
      </c>
      <c r="D707" s="7" t="str">
        <f>VLOOKUP(C707,'ACTIVOS CODIGO'!H:I,2,0)</f>
        <v>PASIVO DEL TESORO = PASIVO CORRIENTE</v>
      </c>
      <c r="E707" s="3"/>
      <c r="F707" s="8"/>
      <c r="G707" s="10">
        <v>133</v>
      </c>
      <c r="H707" s="10" t="str">
        <f>VLOOKUP(G707,'PUB 21'!$A$1:$B$29,2,0)</f>
        <v>DEPOSITOS DE TERCEROS</v>
      </c>
      <c r="I707"/>
      <c r="J707" s="4"/>
      <c r="K707">
        <v>15</v>
      </c>
      <c r="L707" s="4" t="s">
        <v>547</v>
      </c>
      <c r="M707" s="27" t="str">
        <f t="shared" si="136"/>
        <v>2-1-0-13-30-15</v>
      </c>
      <c r="N707" s="27" t="str">
        <f t="shared" si="137"/>
        <v>OTROS DESCUENTOS</v>
      </c>
      <c r="O707" s="4">
        <f t="shared" si="134"/>
        <v>88</v>
      </c>
      <c r="P707" s="4" t="s">
        <v>673</v>
      </c>
      <c r="Q707" s="4" t="str">
        <f t="shared" si="133"/>
        <v>2-1-0-13-30-15-088</v>
      </c>
      <c r="R707" s="4" t="str">
        <f t="shared" si="135"/>
        <v>PRESTAMO CORTO PLAZO OBREROS</v>
      </c>
    </row>
    <row r="708" spans="1:18" x14ac:dyDescent="0.2">
      <c r="A708" s="1">
        <v>2</v>
      </c>
      <c r="B708" s="6" t="str">
        <f>VLOOKUP(A708,'ACTIVOS CODIGO'!A:B,2,0)</f>
        <v>PASIVO</v>
      </c>
      <c r="C708" s="2">
        <v>1</v>
      </c>
      <c r="D708" s="7" t="str">
        <f>VLOOKUP(C708,'ACTIVOS CODIGO'!H:I,2,0)</f>
        <v>PASIVO DEL TESORO = PASIVO CORRIENTE</v>
      </c>
      <c r="E708" s="3"/>
      <c r="F708" s="8"/>
      <c r="G708" s="10">
        <v>133</v>
      </c>
      <c r="H708" s="10" t="str">
        <f>VLOOKUP(G708,'PUB 21'!$A$1:$B$29,2,0)</f>
        <v>DEPOSITOS DE TERCEROS</v>
      </c>
      <c r="I708"/>
      <c r="J708" s="4"/>
      <c r="K708">
        <v>15</v>
      </c>
      <c r="L708" s="4" t="s">
        <v>547</v>
      </c>
      <c r="M708" s="27" t="str">
        <f t="shared" si="136"/>
        <v>2-1-0-13-30-15</v>
      </c>
      <c r="N708" s="27" t="str">
        <f t="shared" si="137"/>
        <v>OTROS DESCUENTOS</v>
      </c>
      <c r="O708" s="4">
        <f t="shared" si="134"/>
        <v>89</v>
      </c>
      <c r="P708" s="4" t="s">
        <v>685</v>
      </c>
      <c r="Q708" s="4" t="str">
        <f t="shared" si="133"/>
        <v>2-1-0-13-30-15-089</v>
      </c>
      <c r="R708" s="4" t="str">
        <f t="shared" si="135"/>
        <v>PRESTAMO LARGO PLAZO OBREROS</v>
      </c>
    </row>
    <row r="709" spans="1:18" x14ac:dyDescent="0.2">
      <c r="A709" s="1">
        <v>2</v>
      </c>
      <c r="B709" s="6" t="str">
        <f>VLOOKUP(A709,'ACTIVOS CODIGO'!A:B,2,0)</f>
        <v>PASIVO</v>
      </c>
      <c r="C709" s="2">
        <v>1</v>
      </c>
      <c r="D709" s="7" t="str">
        <f>VLOOKUP(C709,'ACTIVOS CODIGO'!H:I,2,0)</f>
        <v>PASIVO DEL TESORO = PASIVO CORRIENTE</v>
      </c>
      <c r="E709" s="3"/>
      <c r="F709" s="8"/>
      <c r="G709" s="10">
        <v>133</v>
      </c>
      <c r="H709" s="10" t="str">
        <f>VLOOKUP(G709,'PUB 21'!$A$1:$B$29,2,0)</f>
        <v>DEPOSITOS DE TERCEROS</v>
      </c>
      <c r="I709"/>
      <c r="J709" s="4"/>
      <c r="K709">
        <v>15</v>
      </c>
      <c r="L709" s="4" t="s">
        <v>547</v>
      </c>
      <c r="M709" s="27" t="str">
        <f t="shared" si="136"/>
        <v>2-1-0-13-30-15</v>
      </c>
      <c r="N709" s="27" t="str">
        <f t="shared" si="137"/>
        <v>OTROS DESCUENTOS</v>
      </c>
      <c r="O709" s="4">
        <f t="shared" si="134"/>
        <v>90</v>
      </c>
      <c r="P709" s="4" t="s">
        <v>674</v>
      </c>
      <c r="Q709" s="4" t="str">
        <f t="shared" si="133"/>
        <v>2-1-0-13-30-15-090</v>
      </c>
      <c r="R709" s="4" t="str">
        <f t="shared" si="135"/>
        <v>PRESTAMO MEDIANO PLAZO OBREROS</v>
      </c>
    </row>
    <row r="710" spans="1:18" x14ac:dyDescent="0.2">
      <c r="A710" s="1">
        <v>2</v>
      </c>
      <c r="B710" s="6" t="str">
        <f>VLOOKUP(A710,'ACTIVOS CODIGO'!A:B,2,0)</f>
        <v>PASIVO</v>
      </c>
      <c r="C710" s="2">
        <v>1</v>
      </c>
      <c r="D710" s="7" t="str">
        <f>VLOOKUP(C710,'ACTIVOS CODIGO'!H:I,2,0)</f>
        <v>PASIVO DEL TESORO = PASIVO CORRIENTE</v>
      </c>
      <c r="E710" s="3"/>
      <c r="F710" s="8"/>
      <c r="G710" s="10">
        <v>133</v>
      </c>
      <c r="H710" s="10" t="str">
        <f>VLOOKUP(G710,'PUB 21'!$A$1:$B$29,2,0)</f>
        <v>DEPOSITOS DE TERCEROS</v>
      </c>
      <c r="I710"/>
      <c r="J710" s="4"/>
      <c r="K710">
        <v>15</v>
      </c>
      <c r="L710" s="4" t="s">
        <v>547</v>
      </c>
      <c r="M710" s="27" t="str">
        <f t="shared" si="136"/>
        <v>2-1-0-13-30-15</v>
      </c>
      <c r="N710" s="27" t="str">
        <f t="shared" si="137"/>
        <v>OTROS DESCUENTOS</v>
      </c>
      <c r="O710" s="4">
        <f t="shared" si="134"/>
        <v>91</v>
      </c>
      <c r="P710" s="4" t="s">
        <v>686</v>
      </c>
      <c r="Q710" s="4" t="str">
        <f t="shared" si="133"/>
        <v>2-1-0-13-30-15-091</v>
      </c>
      <c r="R710" s="4" t="str">
        <f t="shared" si="135"/>
        <v>PRESTAMOS A LARGO PLAZO OBREROS</v>
      </c>
    </row>
    <row r="711" spans="1:18" x14ac:dyDescent="0.2">
      <c r="A711" s="1">
        <v>2</v>
      </c>
      <c r="B711" s="6" t="str">
        <f>VLOOKUP(A711,'ACTIVOS CODIGO'!A:B,2,0)</f>
        <v>PASIVO</v>
      </c>
      <c r="C711" s="2">
        <v>1</v>
      </c>
      <c r="D711" s="7" t="str">
        <f>VLOOKUP(C711,'ACTIVOS CODIGO'!H:I,2,0)</f>
        <v>PASIVO DEL TESORO = PASIVO CORRIENTE</v>
      </c>
      <c r="E711" s="3"/>
      <c r="F711" s="8"/>
      <c r="G711" s="10">
        <v>133</v>
      </c>
      <c r="H711" s="10" t="str">
        <f>VLOOKUP(G711,'PUB 21'!$A$1:$B$29,2,0)</f>
        <v>DEPOSITOS DE TERCEROS</v>
      </c>
      <c r="I711"/>
      <c r="J711" s="4"/>
      <c r="K711">
        <v>15</v>
      </c>
      <c r="L711" s="4" t="s">
        <v>547</v>
      </c>
      <c r="M711" s="27" t="str">
        <f t="shared" si="136"/>
        <v>2-1-0-13-30-15</v>
      </c>
      <c r="N711" s="27" t="str">
        <f t="shared" si="137"/>
        <v>OTROS DESCUENTOS</v>
      </c>
      <c r="O711" s="4">
        <f t="shared" si="134"/>
        <v>92</v>
      </c>
      <c r="P711" s="4" t="s">
        <v>687</v>
      </c>
      <c r="Q711" s="4" t="str">
        <f t="shared" si="133"/>
        <v>2-1-0-13-30-15-092</v>
      </c>
      <c r="R711" s="4" t="str">
        <f t="shared" si="135"/>
        <v>PRESTAMO MEDIANO PLAZO B OBREROS</v>
      </c>
    </row>
    <row r="712" spans="1:18" x14ac:dyDescent="0.2">
      <c r="A712" s="1">
        <v>2</v>
      </c>
      <c r="B712" s="6" t="str">
        <f>VLOOKUP(A712,'ACTIVOS CODIGO'!A:B,2,0)</f>
        <v>PASIVO</v>
      </c>
      <c r="C712" s="2">
        <v>1</v>
      </c>
      <c r="D712" s="7" t="str">
        <f>VLOOKUP(C712,'ACTIVOS CODIGO'!H:I,2,0)</f>
        <v>PASIVO DEL TESORO = PASIVO CORRIENTE</v>
      </c>
      <c r="E712" s="3"/>
      <c r="F712" s="8"/>
      <c r="G712" s="10">
        <v>133</v>
      </c>
      <c r="H712" s="10" t="str">
        <f>VLOOKUP(G712,'PUB 21'!$A$1:$B$29,2,0)</f>
        <v>DEPOSITOS DE TERCEROS</v>
      </c>
      <c r="I712"/>
      <c r="J712" s="4"/>
      <c r="K712">
        <v>15</v>
      </c>
      <c r="L712" s="4" t="s">
        <v>547</v>
      </c>
      <c r="M712" s="27" t="str">
        <f t="shared" si="136"/>
        <v>2-1-0-13-30-15</v>
      </c>
      <c r="N712" s="27" t="str">
        <f t="shared" si="137"/>
        <v>OTROS DESCUENTOS</v>
      </c>
      <c r="O712" s="4">
        <f t="shared" si="134"/>
        <v>93</v>
      </c>
      <c r="P712" s="4" t="s">
        <v>688</v>
      </c>
      <c r="Q712" s="4" t="str">
        <f t="shared" si="133"/>
        <v>2-1-0-13-30-15-093</v>
      </c>
      <c r="R712" s="4" t="str">
        <f t="shared" si="135"/>
        <v>VEHICULOS OBREROS</v>
      </c>
    </row>
    <row r="713" spans="1:18" x14ac:dyDescent="0.2">
      <c r="A713" s="1">
        <v>2</v>
      </c>
      <c r="B713" s="6" t="str">
        <f>VLOOKUP(A713,'ACTIVOS CODIGO'!A:B,2,0)</f>
        <v>PASIVO</v>
      </c>
      <c r="C713" s="2">
        <v>1</v>
      </c>
      <c r="D713" s="7" t="str">
        <f>VLOOKUP(C713,'ACTIVOS CODIGO'!H:I,2,0)</f>
        <v>PASIVO DEL TESORO = PASIVO CORRIENTE</v>
      </c>
      <c r="E713" s="3"/>
      <c r="F713" s="8"/>
      <c r="G713" s="10">
        <v>133</v>
      </c>
      <c r="H713" s="10" t="str">
        <f>VLOOKUP(G713,'PUB 21'!$A$1:$B$29,2,0)</f>
        <v>DEPOSITOS DE TERCEROS</v>
      </c>
      <c r="I713"/>
      <c r="J713" s="4"/>
      <c r="K713">
        <v>15</v>
      </c>
      <c r="L713" s="4" t="s">
        <v>547</v>
      </c>
      <c r="M713" s="27" t="str">
        <f t="shared" si="136"/>
        <v>2-1-0-13-30-15</v>
      </c>
      <c r="N713" s="27" t="str">
        <f t="shared" si="137"/>
        <v>OTROS DESCUENTOS</v>
      </c>
      <c r="O713" s="4">
        <f t="shared" si="134"/>
        <v>94</v>
      </c>
      <c r="P713" s="4" t="s">
        <v>689</v>
      </c>
      <c r="Q713" s="4" t="str">
        <f t="shared" si="133"/>
        <v>2-1-0-13-30-15-094</v>
      </c>
      <c r="R713" s="4" t="str">
        <f t="shared" si="135"/>
        <v>DCTOS. COMBOS ALIMENTARIOS OBREROS</v>
      </c>
    </row>
    <row r="714" spans="1:18" x14ac:dyDescent="0.2">
      <c r="A714" s="1">
        <v>2</v>
      </c>
      <c r="B714" s="6" t="str">
        <f>VLOOKUP(A714,'ACTIVOS CODIGO'!A:B,2,0)</f>
        <v>PASIVO</v>
      </c>
      <c r="C714" s="2">
        <v>1</v>
      </c>
      <c r="D714" s="7" t="str">
        <f>VLOOKUP(C714,'ACTIVOS CODIGO'!H:I,2,0)</f>
        <v>PASIVO DEL TESORO = PASIVO CORRIENTE</v>
      </c>
      <c r="E714" s="3"/>
      <c r="F714" s="8"/>
      <c r="G714" s="10">
        <v>133</v>
      </c>
      <c r="H714" s="10" t="str">
        <f>VLOOKUP(G714,'PUB 21'!$A$1:$B$29,2,0)</f>
        <v>DEPOSITOS DE TERCEROS</v>
      </c>
      <c r="I714"/>
      <c r="J714" s="4"/>
      <c r="K714">
        <v>15</v>
      </c>
      <c r="L714" s="4" t="s">
        <v>547</v>
      </c>
      <c r="M714" s="27" t="str">
        <f t="shared" si="136"/>
        <v>2-1-0-13-30-15</v>
      </c>
      <c r="N714" s="27" t="str">
        <f t="shared" si="137"/>
        <v>OTROS DESCUENTOS</v>
      </c>
      <c r="O714" s="4">
        <f t="shared" si="134"/>
        <v>95</v>
      </c>
      <c r="P714" s="4" t="s">
        <v>690</v>
      </c>
      <c r="Q714" s="4" t="str">
        <f t="shared" si="133"/>
        <v>2-1-0-13-30-15-095</v>
      </c>
      <c r="R714" s="4" t="str">
        <f t="shared" si="135"/>
        <v>DESC. CREDITO HIPOTECARIO OBREROS</v>
      </c>
    </row>
    <row r="715" spans="1:18" x14ac:dyDescent="0.2">
      <c r="A715" s="1">
        <v>2</v>
      </c>
      <c r="B715" s="6" t="str">
        <f>VLOOKUP(A715,'ACTIVOS CODIGO'!A:B,2,0)</f>
        <v>PASIVO</v>
      </c>
      <c r="C715" s="2">
        <v>1</v>
      </c>
      <c r="D715" s="7" t="str">
        <f>VLOOKUP(C715,'ACTIVOS CODIGO'!H:I,2,0)</f>
        <v>PASIVO DEL TESORO = PASIVO CORRIENTE</v>
      </c>
      <c r="E715" s="3"/>
      <c r="F715" s="8"/>
      <c r="G715" s="10">
        <v>133</v>
      </c>
      <c r="H715" s="10" t="str">
        <f>VLOOKUP(G715,'PUB 21'!$A$1:$B$29,2,0)</f>
        <v>DEPOSITOS DE TERCEROS</v>
      </c>
      <c r="I715"/>
      <c r="J715" s="4"/>
      <c r="K715">
        <v>15</v>
      </c>
      <c r="L715" s="4" t="s">
        <v>547</v>
      </c>
      <c r="M715" s="27" t="str">
        <f t="shared" si="136"/>
        <v>2-1-0-13-30-15</v>
      </c>
      <c r="N715" s="27" t="str">
        <f t="shared" si="137"/>
        <v>OTROS DESCUENTOS</v>
      </c>
      <c r="O715" s="4">
        <f t="shared" si="134"/>
        <v>96</v>
      </c>
      <c r="P715" s="4" t="s">
        <v>691</v>
      </c>
      <c r="Q715" s="4" t="str">
        <f t="shared" si="133"/>
        <v>2-1-0-13-30-15-096</v>
      </c>
      <c r="R715" s="4" t="str">
        <f t="shared" si="135"/>
        <v>DCTO. PAGO INDEB. GUARD. OBREROS</v>
      </c>
    </row>
    <row r="716" spans="1:18" x14ac:dyDescent="0.2">
      <c r="A716" s="1">
        <v>2</v>
      </c>
      <c r="B716" s="6" t="str">
        <f>VLOOKUP(A716,'ACTIVOS CODIGO'!A:B,2,0)</f>
        <v>PASIVO</v>
      </c>
      <c r="C716" s="2">
        <v>1</v>
      </c>
      <c r="D716" s="7" t="str">
        <f>VLOOKUP(C716,'ACTIVOS CODIGO'!H:I,2,0)</f>
        <v>PASIVO DEL TESORO = PASIVO CORRIENTE</v>
      </c>
      <c r="E716" s="3"/>
      <c r="F716" s="8"/>
      <c r="G716" s="10">
        <v>133</v>
      </c>
      <c r="H716" s="10" t="str">
        <f>VLOOKUP(G716,'PUB 21'!$A$1:$B$29,2,0)</f>
        <v>DEPOSITOS DE TERCEROS</v>
      </c>
      <c r="I716"/>
      <c r="J716" s="4"/>
      <c r="K716">
        <v>15</v>
      </c>
      <c r="L716" s="4" t="s">
        <v>547</v>
      </c>
      <c r="M716" s="27" t="str">
        <f t="shared" si="136"/>
        <v>2-1-0-13-30-15</v>
      </c>
      <c r="N716" s="27" t="str">
        <f t="shared" si="137"/>
        <v>OTROS DESCUENTOS</v>
      </c>
      <c r="O716" s="4">
        <f t="shared" si="134"/>
        <v>97</v>
      </c>
      <c r="P716" s="4" t="s">
        <v>692</v>
      </c>
      <c r="Q716" s="4" t="str">
        <f t="shared" si="133"/>
        <v>2-1-0-13-30-15-097</v>
      </c>
      <c r="R716" s="4" t="str">
        <f t="shared" si="135"/>
        <v>ASISTENCIAL CAJA DE AHORRO OBREROS</v>
      </c>
    </row>
    <row r="717" spans="1:18" x14ac:dyDescent="0.2">
      <c r="A717" s="1">
        <v>2</v>
      </c>
      <c r="B717" s="6" t="str">
        <f>VLOOKUP(A717,'ACTIVOS CODIGO'!A:B,2,0)</f>
        <v>PASIVO</v>
      </c>
      <c r="C717" s="2">
        <v>1</v>
      </c>
      <c r="D717" s="7" t="str">
        <f>VLOOKUP(C717,'ACTIVOS CODIGO'!H:I,2,0)</f>
        <v>PASIVO DEL TESORO = PASIVO CORRIENTE</v>
      </c>
      <c r="E717" s="3"/>
      <c r="F717" s="8"/>
      <c r="G717" s="10">
        <v>133</v>
      </c>
      <c r="H717" s="10" t="str">
        <f>VLOOKUP(G717,'PUB 21'!$A$1:$B$29,2,0)</f>
        <v>DEPOSITOS DE TERCEROS</v>
      </c>
      <c r="I717"/>
      <c r="J717" s="4"/>
      <c r="K717">
        <v>15</v>
      </c>
      <c r="L717" s="4" t="s">
        <v>547</v>
      </c>
      <c r="M717" s="27" t="str">
        <f t="shared" si="136"/>
        <v>2-1-0-13-30-15</v>
      </c>
      <c r="N717" s="27" t="str">
        <f t="shared" si="137"/>
        <v>OTROS DESCUENTOS</v>
      </c>
      <c r="O717" s="4">
        <f t="shared" si="134"/>
        <v>98</v>
      </c>
      <c r="P717" s="4" t="s">
        <v>693</v>
      </c>
      <c r="Q717" s="4" t="str">
        <f t="shared" si="133"/>
        <v>2-1-0-13-30-15-098</v>
      </c>
      <c r="R717" s="4" t="str">
        <f t="shared" si="135"/>
        <v>MONTEPIO OBREROS</v>
      </c>
    </row>
    <row r="718" spans="1:18" x14ac:dyDescent="0.2">
      <c r="A718" s="1">
        <v>2</v>
      </c>
      <c r="B718" s="6" t="str">
        <f>VLOOKUP(A718,'ACTIVOS CODIGO'!A:B,2,0)</f>
        <v>PASIVO</v>
      </c>
      <c r="C718" s="2">
        <v>1</v>
      </c>
      <c r="D718" s="7" t="str">
        <f>VLOOKUP(C718,'ACTIVOS CODIGO'!H:I,2,0)</f>
        <v>PASIVO DEL TESORO = PASIVO CORRIENTE</v>
      </c>
      <c r="E718" s="3"/>
      <c r="F718" s="8"/>
      <c r="G718" s="10">
        <v>133</v>
      </c>
      <c r="H718" s="10" t="str">
        <f>VLOOKUP(G718,'PUB 21'!$A$1:$B$29,2,0)</f>
        <v>DEPOSITOS DE TERCEROS</v>
      </c>
      <c r="I718"/>
      <c r="J718" s="4"/>
      <c r="K718">
        <v>15</v>
      </c>
      <c r="L718" s="4" t="s">
        <v>547</v>
      </c>
      <c r="M718" s="27" t="str">
        <f t="shared" si="136"/>
        <v>2-1-0-13-30-15</v>
      </c>
      <c r="N718" s="27" t="str">
        <f t="shared" si="137"/>
        <v>OTROS DESCUENTOS</v>
      </c>
      <c r="O718" s="4">
        <f t="shared" si="134"/>
        <v>99</v>
      </c>
      <c r="P718" s="4" t="s">
        <v>694</v>
      </c>
      <c r="Q718" s="4" t="str">
        <f t="shared" si="133"/>
        <v>2-1-0-13-30-15-099</v>
      </c>
      <c r="R718" s="4" t="str">
        <f t="shared" si="135"/>
        <v>PENSION ALIMENTICIA OBREROS</v>
      </c>
    </row>
    <row r="719" spans="1:18" x14ac:dyDescent="0.2">
      <c r="A719" s="1">
        <v>2</v>
      </c>
      <c r="B719" s="6" t="str">
        <f>VLOOKUP(A719,'ACTIVOS CODIGO'!A:B,2,0)</f>
        <v>PASIVO</v>
      </c>
      <c r="C719" s="2">
        <v>1</v>
      </c>
      <c r="D719" s="7" t="str">
        <f>VLOOKUP(C719,'ACTIVOS CODIGO'!H:I,2,0)</f>
        <v>PASIVO DEL TESORO = PASIVO CORRIENTE</v>
      </c>
      <c r="E719" s="3"/>
      <c r="F719" s="8"/>
      <c r="G719" s="10">
        <v>133</v>
      </c>
      <c r="H719" s="10" t="str">
        <f>VLOOKUP(G719,'PUB 21'!$A$1:$B$29,2,0)</f>
        <v>DEPOSITOS DE TERCEROS</v>
      </c>
      <c r="I719"/>
      <c r="J719" s="4"/>
      <c r="K719">
        <v>15</v>
      </c>
      <c r="L719" s="4" t="s">
        <v>547</v>
      </c>
      <c r="M719" s="27" t="str">
        <f t="shared" si="136"/>
        <v>2-1-0-13-30-15</v>
      </c>
      <c r="N719" s="27" t="str">
        <f t="shared" si="137"/>
        <v>OTROS DESCUENTOS</v>
      </c>
      <c r="O719" s="4">
        <f t="shared" si="134"/>
        <v>100</v>
      </c>
      <c r="P719" s="4" t="s">
        <v>695</v>
      </c>
      <c r="Q719" s="4" t="str">
        <f t="shared" si="133"/>
        <v>2-1-0-13-30-15-100</v>
      </c>
      <c r="R719" s="4" t="str">
        <f t="shared" si="135"/>
        <v>RETROAC. PENSION ALIMENTICIA OBREROS</v>
      </c>
    </row>
    <row r="720" spans="1:18" x14ac:dyDescent="0.2">
      <c r="A720" s="1">
        <v>2</v>
      </c>
      <c r="B720" s="6" t="str">
        <f>VLOOKUP(A720,'ACTIVOS CODIGO'!A:B,2,0)</f>
        <v>PASIVO</v>
      </c>
      <c r="C720" s="2">
        <v>1</v>
      </c>
      <c r="D720" s="7" t="str">
        <f>VLOOKUP(C720,'ACTIVOS CODIGO'!H:I,2,0)</f>
        <v>PASIVO DEL TESORO = PASIVO CORRIENTE</v>
      </c>
      <c r="E720" s="3"/>
      <c r="F720" s="8"/>
      <c r="G720" s="10">
        <v>133</v>
      </c>
      <c r="H720" s="10" t="str">
        <f>VLOOKUP(G720,'PUB 21'!$A$1:$B$29,2,0)</f>
        <v>DEPOSITOS DE TERCEROS</v>
      </c>
      <c r="I720"/>
      <c r="J720" s="4"/>
      <c r="K720">
        <v>15</v>
      </c>
      <c r="L720" s="4" t="s">
        <v>547</v>
      </c>
      <c r="M720" s="27" t="str">
        <f t="shared" si="136"/>
        <v>2-1-0-13-30-15</v>
      </c>
      <c r="N720" s="27" t="str">
        <f t="shared" si="137"/>
        <v>OTROS DESCUENTOS</v>
      </c>
      <c r="O720" s="4">
        <f t="shared" si="134"/>
        <v>101</v>
      </c>
      <c r="P720" s="4" t="s">
        <v>696</v>
      </c>
      <c r="Q720" s="4" t="str">
        <f t="shared" si="133"/>
        <v>2-1-0-13-30-15-101</v>
      </c>
      <c r="R720" s="4" t="str">
        <f t="shared" si="135"/>
        <v>REINT. COBRO INDEB. OBREROS OBREROS</v>
      </c>
    </row>
    <row r="721" spans="1:18" x14ac:dyDescent="0.2">
      <c r="A721" s="1">
        <v>2</v>
      </c>
      <c r="B721" s="6" t="str">
        <f>VLOOKUP(A721,'ACTIVOS CODIGO'!A:B,2,0)</f>
        <v>PASIVO</v>
      </c>
      <c r="C721" s="2">
        <v>1</v>
      </c>
      <c r="D721" s="7" t="str">
        <f>VLOOKUP(C721,'ACTIVOS CODIGO'!H:I,2,0)</f>
        <v>PASIVO DEL TESORO = PASIVO CORRIENTE</v>
      </c>
      <c r="E721" s="3"/>
      <c r="F721" s="8"/>
      <c r="G721" s="10">
        <v>133</v>
      </c>
      <c r="H721" s="10" t="str">
        <f>VLOOKUP(G721,'PUB 21'!$A$1:$B$29,2,0)</f>
        <v>DEPOSITOS DE TERCEROS</v>
      </c>
      <c r="I721"/>
      <c r="J721" s="4"/>
      <c r="K721">
        <v>15</v>
      </c>
      <c r="L721" s="4" t="s">
        <v>547</v>
      </c>
      <c r="M721" s="27" t="str">
        <f t="shared" si="136"/>
        <v>2-1-0-13-30-15</v>
      </c>
      <c r="N721" s="27" t="str">
        <f t="shared" si="137"/>
        <v>OTROS DESCUENTOS</v>
      </c>
      <c r="O721" s="4">
        <f t="shared" si="134"/>
        <v>102</v>
      </c>
      <c r="P721" s="4" t="s">
        <v>697</v>
      </c>
      <c r="Q721" s="4" t="str">
        <f t="shared" si="133"/>
        <v>2-1-0-13-30-15-102</v>
      </c>
      <c r="R721" s="4" t="str">
        <f t="shared" si="135"/>
        <v>SERV. INTEGRAL PREVI. AMANECER OBREROS</v>
      </c>
    </row>
    <row r="722" spans="1:18" x14ac:dyDescent="0.2">
      <c r="A722" s="1">
        <v>2</v>
      </c>
      <c r="B722" s="6" t="str">
        <f>VLOOKUP(A722,'ACTIVOS CODIGO'!A:B,2,0)</f>
        <v>PASIVO</v>
      </c>
      <c r="C722" s="2">
        <v>1</v>
      </c>
      <c r="D722" s="7" t="str">
        <f>VLOOKUP(C722,'ACTIVOS CODIGO'!H:I,2,0)</f>
        <v>PASIVO DEL TESORO = PASIVO CORRIENTE</v>
      </c>
      <c r="E722" s="3"/>
      <c r="F722" s="8"/>
      <c r="G722" s="10">
        <v>133</v>
      </c>
      <c r="H722" s="10" t="str">
        <f>VLOOKUP(G722,'PUB 21'!$A$1:$B$29,2,0)</f>
        <v>DEPOSITOS DE TERCEROS</v>
      </c>
      <c r="I722"/>
      <c r="J722" s="4"/>
      <c r="K722">
        <v>15</v>
      </c>
      <c r="L722" s="4" t="s">
        <v>547</v>
      </c>
      <c r="M722" s="27" t="str">
        <f t="shared" si="136"/>
        <v>2-1-0-13-30-15</v>
      </c>
      <c r="N722" s="27" t="str">
        <f t="shared" si="137"/>
        <v>OTROS DESCUENTOS</v>
      </c>
      <c r="O722" s="4">
        <f t="shared" si="134"/>
        <v>103</v>
      </c>
      <c r="P722" s="4" t="s">
        <v>698</v>
      </c>
      <c r="Q722" s="4" t="str">
        <f t="shared" ref="Q722:Q785" si="138">CONCATENATE(TEXT(A722,"0"),"-",TEXT(C722,"0"),"-",TEXT(E722,"0"),"-",TEXT(LEFT(G722,2),"00"),"-",TEXT(RIGHT(G722,1),"0"),TEXT(I722,"0"),"-",TEXT(K722,"00"),"-",TEXT(O722,"000"))</f>
        <v>2-1-0-13-30-15-103</v>
      </c>
      <c r="R722" s="4" t="str">
        <f t="shared" si="135"/>
        <v>PENSION ALIMENTICIA DESCUENTO OBREROS</v>
      </c>
    </row>
    <row r="723" spans="1:18" x14ac:dyDescent="0.2">
      <c r="A723" s="1">
        <v>2</v>
      </c>
      <c r="B723" s="6" t="str">
        <f>VLOOKUP(A723,'ACTIVOS CODIGO'!A:B,2,0)</f>
        <v>PASIVO</v>
      </c>
      <c r="C723" s="2">
        <v>1</v>
      </c>
      <c r="D723" s="7" t="str">
        <f>VLOOKUP(C723,'ACTIVOS CODIGO'!H:I,2,0)</f>
        <v>PASIVO DEL TESORO = PASIVO CORRIENTE</v>
      </c>
      <c r="E723" s="3"/>
      <c r="F723" s="8"/>
      <c r="G723" s="10">
        <v>133</v>
      </c>
      <c r="H723" s="10" t="str">
        <f>VLOOKUP(G723,'PUB 21'!$A$1:$B$29,2,0)</f>
        <v>DEPOSITOS DE TERCEROS</v>
      </c>
      <c r="I723"/>
      <c r="J723" s="4"/>
      <c r="K723">
        <v>15</v>
      </c>
      <c r="L723" s="4" t="s">
        <v>547</v>
      </c>
      <c r="M723" s="27" t="str">
        <f t="shared" si="136"/>
        <v>2-1-0-13-30-15</v>
      </c>
      <c r="N723" s="27" t="str">
        <f t="shared" si="137"/>
        <v>OTROS DESCUENTOS</v>
      </c>
      <c r="O723" s="4">
        <f t="shared" si="134"/>
        <v>104</v>
      </c>
      <c r="P723" s="4" t="s">
        <v>699</v>
      </c>
      <c r="Q723" s="4" t="str">
        <f t="shared" si="138"/>
        <v>2-1-0-13-30-15-104</v>
      </c>
      <c r="R723" s="4" t="str">
        <f t="shared" si="135"/>
        <v>DESCUENTO PRIMA POR HIJO TRAB. OBREROS</v>
      </c>
    </row>
    <row r="724" spans="1:18" x14ac:dyDescent="0.2">
      <c r="A724" s="1">
        <v>2</v>
      </c>
      <c r="B724" s="6" t="str">
        <f>VLOOKUP(A724,'ACTIVOS CODIGO'!A:B,2,0)</f>
        <v>PASIVO</v>
      </c>
      <c r="C724" s="2">
        <v>1</v>
      </c>
      <c r="D724" s="7" t="str">
        <f>VLOOKUP(C724,'ACTIVOS CODIGO'!H:I,2,0)</f>
        <v>PASIVO DEL TESORO = PASIVO CORRIENTE</v>
      </c>
      <c r="E724" s="3"/>
      <c r="F724" s="8"/>
      <c r="G724" s="10">
        <v>133</v>
      </c>
      <c r="H724" s="10" t="str">
        <f>VLOOKUP(G724,'PUB 21'!$A$1:$B$29,2,0)</f>
        <v>DEPOSITOS DE TERCEROS</v>
      </c>
      <c r="I724"/>
      <c r="J724" s="4"/>
      <c r="K724">
        <v>15</v>
      </c>
      <c r="L724" s="4" t="s">
        <v>547</v>
      </c>
      <c r="M724" s="27" t="str">
        <f t="shared" si="136"/>
        <v>2-1-0-13-30-15</v>
      </c>
      <c r="N724" s="27" t="str">
        <f t="shared" si="137"/>
        <v>OTROS DESCUENTOS</v>
      </c>
      <c r="O724" s="4">
        <f t="shared" si="134"/>
        <v>105</v>
      </c>
      <c r="P724" s="4" t="s">
        <v>700</v>
      </c>
      <c r="Q724" s="4" t="str">
        <f t="shared" si="138"/>
        <v>2-1-0-13-30-15-105</v>
      </c>
      <c r="R724" s="4" t="str">
        <f t="shared" si="135"/>
        <v>DESC. UTILES POR TRIBUNAL OBREROS</v>
      </c>
    </row>
    <row r="725" spans="1:18" x14ac:dyDescent="0.2">
      <c r="A725" s="1">
        <v>2</v>
      </c>
      <c r="B725" s="6" t="str">
        <f>VLOOKUP(A725,'ACTIVOS CODIGO'!A:B,2,0)</f>
        <v>PASIVO</v>
      </c>
      <c r="C725" s="2">
        <v>1</v>
      </c>
      <c r="D725" s="7" t="str">
        <f>VLOOKUP(C725,'ACTIVOS CODIGO'!H:I,2,0)</f>
        <v>PASIVO DEL TESORO = PASIVO CORRIENTE</v>
      </c>
      <c r="E725" s="3"/>
      <c r="F725" s="8"/>
      <c r="G725" s="10">
        <v>133</v>
      </c>
      <c r="H725" s="10" t="str">
        <f>VLOOKUP(G725,'PUB 21'!$A$1:$B$29,2,0)</f>
        <v>DEPOSITOS DE TERCEROS</v>
      </c>
      <c r="I725"/>
      <c r="J725" s="4"/>
      <c r="K725">
        <v>15</v>
      </c>
      <c r="L725" s="4" t="s">
        <v>547</v>
      </c>
      <c r="M725" s="27" t="str">
        <f t="shared" si="136"/>
        <v>2-1-0-13-30-15</v>
      </c>
      <c r="N725" s="27" t="str">
        <f t="shared" si="137"/>
        <v>OTROS DESCUENTOS</v>
      </c>
      <c r="O725" s="4">
        <f t="shared" si="134"/>
        <v>106</v>
      </c>
      <c r="P725" s="4" t="s">
        <v>701</v>
      </c>
      <c r="Q725" s="4" t="str">
        <f t="shared" si="138"/>
        <v>2-1-0-13-30-15-106</v>
      </c>
      <c r="R725" s="4" t="str">
        <f t="shared" si="135"/>
        <v>PENSION ALIMENT. BONO VACACIONAL OBREROS</v>
      </c>
    </row>
    <row r="726" spans="1:18" x14ac:dyDescent="0.2">
      <c r="A726" s="1">
        <v>2</v>
      </c>
      <c r="B726" s="6" t="str">
        <f>VLOOKUP(A726,'ACTIVOS CODIGO'!A:B,2,0)</f>
        <v>PASIVO</v>
      </c>
      <c r="C726" s="2">
        <v>1</v>
      </c>
      <c r="D726" s="7" t="str">
        <f>VLOOKUP(C726,'ACTIVOS CODIGO'!H:I,2,0)</f>
        <v>PASIVO DEL TESORO = PASIVO CORRIENTE</v>
      </c>
      <c r="E726" s="3"/>
      <c r="F726" s="8"/>
      <c r="G726" s="10">
        <v>133</v>
      </c>
      <c r="H726" s="10" t="str">
        <f>VLOOKUP(G726,'PUB 21'!$A$1:$B$29,2,0)</f>
        <v>DEPOSITOS DE TERCEROS</v>
      </c>
      <c r="I726"/>
      <c r="J726" s="4"/>
      <c r="K726">
        <v>15</v>
      </c>
      <c r="L726" s="4" t="s">
        <v>547</v>
      </c>
      <c r="M726" s="27" t="str">
        <f t="shared" si="136"/>
        <v>2-1-0-13-30-15</v>
      </c>
      <c r="N726" s="27" t="str">
        <f t="shared" si="137"/>
        <v>OTROS DESCUENTOS</v>
      </c>
      <c r="O726" s="4">
        <f t="shared" si="134"/>
        <v>107</v>
      </c>
      <c r="P726" s="4" t="s">
        <v>702</v>
      </c>
      <c r="Q726" s="4" t="str">
        <f t="shared" si="138"/>
        <v>2-1-0-13-30-15-107</v>
      </c>
      <c r="R726" s="4" t="str">
        <f t="shared" si="135"/>
        <v>PENSION ALIM. NONIFESP. SEPT. OBREROS</v>
      </c>
    </row>
    <row r="727" spans="1:18" x14ac:dyDescent="0.2">
      <c r="A727" s="1">
        <v>2</v>
      </c>
      <c r="B727" s="6" t="str">
        <f>VLOOKUP(A727,'ACTIVOS CODIGO'!A:B,2,0)</f>
        <v>PASIVO</v>
      </c>
      <c r="C727" s="2">
        <v>1</v>
      </c>
      <c r="D727" s="7" t="str">
        <f>VLOOKUP(C727,'ACTIVOS CODIGO'!H:I,2,0)</f>
        <v>PASIVO DEL TESORO = PASIVO CORRIENTE</v>
      </c>
      <c r="E727" s="3"/>
      <c r="F727" s="8"/>
      <c r="G727" s="10">
        <v>133</v>
      </c>
      <c r="H727" s="10" t="str">
        <f>VLOOKUP(G727,'PUB 21'!$A$1:$B$29,2,0)</f>
        <v>DEPOSITOS DE TERCEROS</v>
      </c>
      <c r="I727"/>
      <c r="J727" s="4"/>
      <c r="K727">
        <v>15</v>
      </c>
      <c r="L727" s="4" t="s">
        <v>547</v>
      </c>
      <c r="M727" s="27" t="str">
        <f t="shared" si="136"/>
        <v>2-1-0-13-30-15</v>
      </c>
      <c r="N727" s="27" t="str">
        <f t="shared" si="137"/>
        <v>OTROS DESCUENTOS</v>
      </c>
      <c r="O727" s="4">
        <f t="shared" si="134"/>
        <v>108</v>
      </c>
      <c r="P727" s="4" t="s">
        <v>703</v>
      </c>
      <c r="Q727" s="4" t="str">
        <f t="shared" si="138"/>
        <v>2-1-0-13-30-15-108</v>
      </c>
      <c r="R727" s="4" t="str">
        <f t="shared" si="135"/>
        <v>PENSION ALIMENTICIA II OBREROS</v>
      </c>
    </row>
    <row r="728" spans="1:18" x14ac:dyDescent="0.2">
      <c r="A728" s="1">
        <v>2</v>
      </c>
      <c r="B728" s="6" t="str">
        <f>VLOOKUP(A728,'ACTIVOS CODIGO'!A:B,2,0)</f>
        <v>PASIVO</v>
      </c>
      <c r="C728" s="2">
        <v>1</v>
      </c>
      <c r="D728" s="7" t="str">
        <f>VLOOKUP(C728,'ACTIVOS CODIGO'!H:I,2,0)</f>
        <v>PASIVO DEL TESORO = PASIVO CORRIENTE</v>
      </c>
      <c r="E728" s="3"/>
      <c r="F728" s="8"/>
      <c r="G728" s="10">
        <v>133</v>
      </c>
      <c r="H728" s="10" t="str">
        <f>VLOOKUP(G728,'PUB 21'!$A$1:$B$29,2,0)</f>
        <v>DEPOSITOS DE TERCEROS</v>
      </c>
      <c r="I728"/>
      <c r="J728" s="4"/>
      <c r="K728">
        <v>15</v>
      </c>
      <c r="L728" s="4" t="s">
        <v>547</v>
      </c>
      <c r="M728" s="27" t="str">
        <f t="shared" si="136"/>
        <v>2-1-0-13-30-15</v>
      </c>
      <c r="N728" s="27" t="str">
        <f t="shared" si="137"/>
        <v>OTROS DESCUENTOS</v>
      </c>
      <c r="O728" s="4">
        <f t="shared" si="134"/>
        <v>109</v>
      </c>
      <c r="P728" s="4" t="s">
        <v>704</v>
      </c>
      <c r="Q728" s="4" t="str">
        <f t="shared" si="138"/>
        <v>2-1-0-13-30-15-109</v>
      </c>
      <c r="R728" s="4" t="str">
        <f t="shared" si="135"/>
        <v>REINTEGRO COBRO INDEBIDOBONO VACAC DIF. DE SUELDO OBREROS</v>
      </c>
    </row>
    <row r="729" spans="1:18" x14ac:dyDescent="0.2">
      <c r="A729" s="1">
        <v>2</v>
      </c>
      <c r="B729" s="6" t="str">
        <f>VLOOKUP(A729,'ACTIVOS CODIGO'!A:B,2,0)</f>
        <v>PASIVO</v>
      </c>
      <c r="C729" s="2">
        <v>1</v>
      </c>
      <c r="D729" s="7" t="str">
        <f>VLOOKUP(C729,'ACTIVOS CODIGO'!H:I,2,0)</f>
        <v>PASIVO DEL TESORO = PASIVO CORRIENTE</v>
      </c>
      <c r="E729" s="3"/>
      <c r="F729" s="8"/>
      <c r="G729" s="10">
        <v>133</v>
      </c>
      <c r="H729" s="10" t="str">
        <f>VLOOKUP(G729,'PUB 21'!$A$1:$B$29,2,0)</f>
        <v>DEPOSITOS DE TERCEROS</v>
      </c>
      <c r="I729"/>
      <c r="J729" s="4"/>
      <c r="K729">
        <v>15</v>
      </c>
      <c r="L729" s="4" t="s">
        <v>547</v>
      </c>
      <c r="M729" s="27" t="str">
        <f t="shared" si="136"/>
        <v>2-1-0-13-30-15</v>
      </c>
      <c r="N729" s="27" t="str">
        <f t="shared" si="137"/>
        <v>OTROS DESCUENTOS</v>
      </c>
      <c r="O729" s="4">
        <f t="shared" si="134"/>
        <v>110</v>
      </c>
      <c r="P729" s="4" t="s">
        <v>705</v>
      </c>
      <c r="Q729" s="4" t="str">
        <f t="shared" si="138"/>
        <v>2-1-0-13-30-15-110</v>
      </c>
      <c r="R729" s="4" t="str">
        <f t="shared" si="135"/>
        <v>DESCUENTOS DIA NO LABORADO OBREROS</v>
      </c>
    </row>
    <row r="730" spans="1:18" x14ac:dyDescent="0.2">
      <c r="A730" s="1">
        <v>2</v>
      </c>
      <c r="B730" s="6" t="str">
        <f>VLOOKUP(A730,'ACTIVOS CODIGO'!A:B,2,0)</f>
        <v>PASIVO</v>
      </c>
      <c r="C730" s="2">
        <v>1</v>
      </c>
      <c r="D730" s="7" t="str">
        <f>VLOOKUP(C730,'ACTIVOS CODIGO'!H:I,2,0)</f>
        <v>PASIVO DEL TESORO = PASIVO CORRIENTE</v>
      </c>
      <c r="E730" s="3"/>
      <c r="F730" s="8"/>
      <c r="G730" s="10">
        <v>133</v>
      </c>
      <c r="H730" s="10" t="str">
        <f>VLOOKUP(G730,'PUB 21'!$A$1:$B$29,2,0)</f>
        <v>DEPOSITOS DE TERCEROS</v>
      </c>
      <c r="I730"/>
      <c r="J730" s="4"/>
      <c r="K730">
        <v>15</v>
      </c>
      <c r="L730" s="4" t="s">
        <v>547</v>
      </c>
      <c r="M730" s="27" t="str">
        <f t="shared" si="136"/>
        <v>2-1-0-13-30-15</v>
      </c>
      <c r="N730" s="27" t="str">
        <f t="shared" si="137"/>
        <v>OTROS DESCUENTOS</v>
      </c>
      <c r="O730" s="4">
        <f t="shared" si="134"/>
        <v>111</v>
      </c>
      <c r="P730" s="4" t="s">
        <v>706</v>
      </c>
      <c r="Q730" s="4" t="str">
        <f t="shared" si="138"/>
        <v>2-1-0-13-30-15-111</v>
      </c>
      <c r="R730" s="4" t="str">
        <f t="shared" si="135"/>
        <v>REINT. PAGO INDEB. HORAS EXTRAS OBREROS</v>
      </c>
    </row>
    <row r="731" spans="1:18" x14ac:dyDescent="0.2">
      <c r="A731" s="1">
        <v>2</v>
      </c>
      <c r="B731" s="6" t="str">
        <f>VLOOKUP(A731,'ACTIVOS CODIGO'!A:B,2,0)</f>
        <v>PASIVO</v>
      </c>
      <c r="C731" s="2">
        <v>1</v>
      </c>
      <c r="D731" s="7" t="str">
        <f>VLOOKUP(C731,'ACTIVOS CODIGO'!H:I,2,0)</f>
        <v>PASIVO DEL TESORO = PASIVO CORRIENTE</v>
      </c>
      <c r="E731" s="3"/>
      <c r="F731" s="8"/>
      <c r="G731" s="10">
        <v>133</v>
      </c>
      <c r="H731" s="10" t="str">
        <f>VLOOKUP(G731,'PUB 21'!$A$1:$B$29,2,0)</f>
        <v>DEPOSITOS DE TERCEROS</v>
      </c>
      <c r="I731"/>
      <c r="J731" s="4"/>
      <c r="K731">
        <v>15</v>
      </c>
      <c r="L731" s="4" t="s">
        <v>547</v>
      </c>
      <c r="M731" s="27" t="str">
        <f t="shared" si="136"/>
        <v>2-1-0-13-30-15</v>
      </c>
      <c r="N731" s="27" t="str">
        <f t="shared" si="137"/>
        <v>OTROS DESCUENTOS</v>
      </c>
      <c r="O731" s="4">
        <f t="shared" si="134"/>
        <v>112</v>
      </c>
      <c r="P731" s="4" t="s">
        <v>707</v>
      </c>
      <c r="Q731" s="4" t="str">
        <f t="shared" si="138"/>
        <v>2-1-0-13-30-15-112</v>
      </c>
      <c r="R731" s="4" t="str">
        <f t="shared" si="135"/>
        <v>RETROACTIVO PENSION ALIMENTICIA OBREROS</v>
      </c>
    </row>
    <row r="732" spans="1:18" x14ac:dyDescent="0.2">
      <c r="A732" s="1">
        <v>2</v>
      </c>
      <c r="B732" s="6" t="str">
        <f>VLOOKUP(A732,'ACTIVOS CODIGO'!A:B,2,0)</f>
        <v>PASIVO</v>
      </c>
      <c r="C732" s="2">
        <v>1</v>
      </c>
      <c r="D732" s="7" t="str">
        <f>VLOOKUP(C732,'ACTIVOS CODIGO'!H:I,2,0)</f>
        <v>PASIVO DEL TESORO = PASIVO CORRIENTE</v>
      </c>
      <c r="E732" s="3"/>
      <c r="F732" s="8"/>
      <c r="G732" s="10">
        <v>133</v>
      </c>
      <c r="H732" s="10" t="str">
        <f>VLOOKUP(G732,'PUB 21'!$A$1:$B$29,2,0)</f>
        <v>DEPOSITOS DE TERCEROS</v>
      </c>
      <c r="I732"/>
      <c r="J732" s="4"/>
      <c r="K732">
        <v>15</v>
      </c>
      <c r="L732" s="4" t="s">
        <v>547</v>
      </c>
      <c r="M732" s="27" t="str">
        <f t="shared" si="136"/>
        <v>2-1-0-13-30-15</v>
      </c>
      <c r="N732" s="27" t="str">
        <f t="shared" si="137"/>
        <v>OTROS DESCUENTOS</v>
      </c>
      <c r="O732" s="4">
        <f t="shared" si="134"/>
        <v>113</v>
      </c>
      <c r="P732" s="4" t="s">
        <v>708</v>
      </c>
      <c r="Q732" s="4" t="str">
        <f t="shared" si="138"/>
        <v>2-1-0-13-30-15-113</v>
      </c>
      <c r="R732" s="4" t="str">
        <f t="shared" si="135"/>
        <v>REINT. COBRO INDEB. DIA FERIADO OBREROS</v>
      </c>
    </row>
    <row r="733" spans="1:18" x14ac:dyDescent="0.2">
      <c r="A733" s="1">
        <v>2</v>
      </c>
      <c r="B733" s="6" t="str">
        <f>VLOOKUP(A733,'ACTIVOS CODIGO'!A:B,2,0)</f>
        <v>PASIVO</v>
      </c>
      <c r="C733" s="2">
        <v>1</v>
      </c>
      <c r="D733" s="7" t="str">
        <f>VLOOKUP(C733,'ACTIVOS CODIGO'!H:I,2,0)</f>
        <v>PASIVO DEL TESORO = PASIVO CORRIENTE</v>
      </c>
      <c r="E733" s="3"/>
      <c r="F733" s="8"/>
      <c r="G733" s="10">
        <v>133</v>
      </c>
      <c r="H733" s="10" t="str">
        <f>VLOOKUP(G733,'PUB 21'!$A$1:$B$29,2,0)</f>
        <v>DEPOSITOS DE TERCEROS</v>
      </c>
      <c r="I733"/>
      <c r="J733" s="4"/>
      <c r="K733">
        <v>15</v>
      </c>
      <c r="L733" s="4" t="s">
        <v>547</v>
      </c>
      <c r="M733" s="27" t="str">
        <f t="shared" si="136"/>
        <v>2-1-0-13-30-15</v>
      </c>
      <c r="N733" s="27" t="str">
        <f t="shared" si="137"/>
        <v>OTROS DESCUENTOS</v>
      </c>
      <c r="O733" s="4">
        <f t="shared" si="134"/>
        <v>114</v>
      </c>
      <c r="P733" s="4" t="s">
        <v>709</v>
      </c>
      <c r="Q733" s="4" t="str">
        <f t="shared" si="138"/>
        <v>2-1-0-13-30-15-114</v>
      </c>
      <c r="R733" s="4" t="str">
        <f t="shared" si="135"/>
        <v>RETROAC. DESC. BECA POR TRIBUNAL OBREROS</v>
      </c>
    </row>
    <row r="734" spans="1:18" x14ac:dyDescent="0.2">
      <c r="A734" s="1">
        <v>2</v>
      </c>
      <c r="B734" s="6" t="str">
        <f>VLOOKUP(A734,'ACTIVOS CODIGO'!A:B,2,0)</f>
        <v>PASIVO</v>
      </c>
      <c r="C734" s="2">
        <v>1</v>
      </c>
      <c r="D734" s="7" t="str">
        <f>VLOOKUP(C734,'ACTIVOS CODIGO'!H:I,2,0)</f>
        <v>PASIVO DEL TESORO = PASIVO CORRIENTE</v>
      </c>
      <c r="E734" s="3"/>
      <c r="F734" s="8"/>
      <c r="G734" s="10">
        <v>133</v>
      </c>
      <c r="H734" s="10" t="str">
        <f>VLOOKUP(G734,'PUB 21'!$A$1:$B$29,2,0)</f>
        <v>DEPOSITOS DE TERCEROS</v>
      </c>
      <c r="I734"/>
      <c r="J734" s="4"/>
      <c r="K734">
        <v>15</v>
      </c>
      <c r="L734" s="4" t="s">
        <v>547</v>
      </c>
      <c r="M734" s="27" t="str">
        <f t="shared" si="136"/>
        <v>2-1-0-13-30-15</v>
      </c>
      <c r="N734" s="27" t="str">
        <f t="shared" si="137"/>
        <v>OTROS DESCUENTOS</v>
      </c>
      <c r="O734" s="4">
        <f t="shared" si="134"/>
        <v>115</v>
      </c>
      <c r="P734" s="4" t="s">
        <v>710</v>
      </c>
      <c r="Q734" s="4" t="str">
        <f t="shared" si="138"/>
        <v>2-1-0-13-30-15-115</v>
      </c>
      <c r="R734" s="4" t="str">
        <f t="shared" si="135"/>
        <v>REINT. POR REPOSO EXTEMPORANEO OBREROS</v>
      </c>
    </row>
    <row r="735" spans="1:18" x14ac:dyDescent="0.2">
      <c r="A735" s="1">
        <v>2</v>
      </c>
      <c r="B735" s="6" t="str">
        <f>VLOOKUP(A735,'ACTIVOS CODIGO'!A:B,2,0)</f>
        <v>PASIVO</v>
      </c>
      <c r="C735" s="2">
        <v>1</v>
      </c>
      <c r="D735" s="7" t="str">
        <f>VLOOKUP(C735,'ACTIVOS CODIGO'!H:I,2,0)</f>
        <v>PASIVO DEL TESORO = PASIVO CORRIENTE</v>
      </c>
      <c r="E735" s="3"/>
      <c r="F735" s="8"/>
      <c r="G735" s="10">
        <v>133</v>
      </c>
      <c r="H735" s="10" t="str">
        <f>VLOOKUP(G735,'PUB 21'!$A$1:$B$29,2,0)</f>
        <v>DEPOSITOS DE TERCEROS</v>
      </c>
      <c r="I735"/>
      <c r="J735" s="4"/>
      <c r="K735">
        <v>15</v>
      </c>
      <c r="L735" s="4" t="s">
        <v>547</v>
      </c>
      <c r="M735" s="27" t="str">
        <f t="shared" si="136"/>
        <v>2-1-0-13-30-15</v>
      </c>
      <c r="N735" s="27" t="str">
        <f t="shared" si="137"/>
        <v>OTROS DESCUENTOS</v>
      </c>
      <c r="O735" s="4">
        <f t="shared" si="134"/>
        <v>116</v>
      </c>
      <c r="P735" s="4" t="s">
        <v>711</v>
      </c>
      <c r="Q735" s="4" t="str">
        <f t="shared" si="138"/>
        <v>2-1-0-13-30-15-116</v>
      </c>
      <c r="R735" s="4" t="str">
        <f t="shared" si="135"/>
        <v>REINT. RETR. AUMENTO SUELDO OBREROS</v>
      </c>
    </row>
    <row r="736" spans="1:18" x14ac:dyDescent="0.2">
      <c r="A736" s="1">
        <v>2</v>
      </c>
      <c r="B736" s="6" t="str">
        <f>VLOOKUP(A736,'ACTIVOS CODIGO'!A:B,2,0)</f>
        <v>PASIVO</v>
      </c>
      <c r="C736" s="2">
        <v>1</v>
      </c>
      <c r="D736" s="7" t="str">
        <f>VLOOKUP(C736,'ACTIVOS CODIGO'!H:I,2,0)</f>
        <v>PASIVO DEL TESORO = PASIVO CORRIENTE</v>
      </c>
      <c r="E736" s="3"/>
      <c r="F736" s="8"/>
      <c r="G736" s="10">
        <v>133</v>
      </c>
      <c r="H736" s="10" t="str">
        <f>VLOOKUP(G736,'PUB 21'!$A$1:$B$29,2,0)</f>
        <v>DEPOSITOS DE TERCEROS</v>
      </c>
      <c r="I736"/>
      <c r="J736" s="4"/>
      <c r="K736">
        <v>15</v>
      </c>
      <c r="L736" s="4" t="s">
        <v>547</v>
      </c>
      <c r="M736" s="27" t="str">
        <f t="shared" si="136"/>
        <v>2-1-0-13-30-15</v>
      </c>
      <c r="N736" s="27" t="str">
        <f t="shared" si="137"/>
        <v>OTROS DESCUENTOS</v>
      </c>
      <c r="O736" s="4">
        <f t="shared" si="134"/>
        <v>117</v>
      </c>
      <c r="P736" s="4" t="s">
        <v>712</v>
      </c>
      <c r="Q736" s="4" t="str">
        <f t="shared" si="138"/>
        <v>2-1-0-13-30-15-117</v>
      </c>
      <c r="R736" s="4" t="str">
        <f t="shared" si="135"/>
        <v>DESCUENTOS DE PRODUCTOS OBREROS</v>
      </c>
    </row>
    <row r="737" spans="1:18" x14ac:dyDescent="0.2">
      <c r="A737" s="1">
        <v>2</v>
      </c>
      <c r="B737" s="6" t="str">
        <f>VLOOKUP(A737,'ACTIVOS CODIGO'!A:B,2,0)</f>
        <v>PASIVO</v>
      </c>
      <c r="C737" s="2">
        <v>1</v>
      </c>
      <c r="D737" s="7" t="str">
        <f>VLOOKUP(C737,'ACTIVOS CODIGO'!H:I,2,0)</f>
        <v>PASIVO DEL TESORO = PASIVO CORRIENTE</v>
      </c>
      <c r="E737" s="3"/>
      <c r="F737" s="8"/>
      <c r="G737" s="10">
        <v>133</v>
      </c>
      <c r="H737" s="10" t="str">
        <f>VLOOKUP(G737,'PUB 21'!$A$1:$B$29,2,0)</f>
        <v>DEPOSITOS DE TERCEROS</v>
      </c>
      <c r="I737"/>
      <c r="J737" s="4"/>
      <c r="K737">
        <v>15</v>
      </c>
      <c r="L737" s="4" t="s">
        <v>547</v>
      </c>
      <c r="M737" s="27" t="str">
        <f t="shared" si="136"/>
        <v>2-1-0-13-30-15</v>
      </c>
      <c r="N737" s="27" t="str">
        <f t="shared" si="137"/>
        <v>OTROS DESCUENTOS</v>
      </c>
      <c r="O737" s="4">
        <f t="shared" si="134"/>
        <v>118</v>
      </c>
      <c r="P737" s="4" t="s">
        <v>713</v>
      </c>
      <c r="Q737" s="4" t="str">
        <f t="shared" si="138"/>
        <v>2-1-0-13-30-15-118</v>
      </c>
      <c r="R737" s="4" t="str">
        <f t="shared" si="135"/>
        <v>REINTEGRO COBRO INDEBIDO OBREROS</v>
      </c>
    </row>
    <row r="738" spans="1:18" x14ac:dyDescent="0.2">
      <c r="A738" s="1">
        <v>2</v>
      </c>
      <c r="B738" s="6" t="str">
        <f>VLOOKUP(A738,'ACTIVOS CODIGO'!A:B,2,0)</f>
        <v>PASIVO</v>
      </c>
      <c r="C738" s="2">
        <v>1</v>
      </c>
      <c r="D738" s="7" t="str">
        <f>VLOOKUP(C738,'ACTIVOS CODIGO'!H:I,2,0)</f>
        <v>PASIVO DEL TESORO = PASIVO CORRIENTE</v>
      </c>
      <c r="E738" s="3"/>
      <c r="F738" s="8"/>
      <c r="G738" s="10">
        <v>133</v>
      </c>
      <c r="H738" s="10" t="str">
        <f>VLOOKUP(G738,'PUB 21'!$A$1:$B$29,2,0)</f>
        <v>DEPOSITOS DE TERCEROS</v>
      </c>
      <c r="I738"/>
      <c r="J738" s="4"/>
      <c r="K738">
        <v>15</v>
      </c>
      <c r="L738" s="4" t="s">
        <v>547</v>
      </c>
      <c r="M738" s="27" t="str">
        <f t="shared" si="136"/>
        <v>2-1-0-13-30-15</v>
      </c>
      <c r="N738" s="27" t="str">
        <f t="shared" si="137"/>
        <v>OTROS DESCUENTOS</v>
      </c>
      <c r="O738" s="4">
        <f t="shared" si="134"/>
        <v>119</v>
      </c>
      <c r="P738" s="4" t="s">
        <v>714</v>
      </c>
      <c r="Q738" s="4" t="str">
        <f t="shared" si="138"/>
        <v>2-1-0-13-30-15-119</v>
      </c>
      <c r="R738" s="4" t="str">
        <f t="shared" si="135"/>
        <v>RIFA OBREROS</v>
      </c>
    </row>
    <row r="739" spans="1:18" x14ac:dyDescent="0.2">
      <c r="A739" s="1">
        <v>2</v>
      </c>
      <c r="B739" s="6" t="str">
        <f>VLOOKUP(A739,'ACTIVOS CODIGO'!A:B,2,0)</f>
        <v>PASIVO</v>
      </c>
      <c r="C739" s="2">
        <v>1</v>
      </c>
      <c r="D739" s="7" t="str">
        <f>VLOOKUP(C739,'ACTIVOS CODIGO'!H:I,2,0)</f>
        <v>PASIVO DEL TESORO = PASIVO CORRIENTE</v>
      </c>
      <c r="E739" s="3"/>
      <c r="F739" s="8"/>
      <c r="G739" s="10">
        <v>133</v>
      </c>
      <c r="H739" s="10" t="str">
        <f>VLOOKUP(G739,'PUB 21'!$A$1:$B$29,2,0)</f>
        <v>DEPOSITOS DE TERCEROS</v>
      </c>
      <c r="I739"/>
      <c r="J739" s="4"/>
      <c r="K739">
        <v>15</v>
      </c>
      <c r="L739" s="4" t="s">
        <v>547</v>
      </c>
      <c r="M739" s="27" t="str">
        <f t="shared" si="136"/>
        <v>2-1-0-13-30-15</v>
      </c>
      <c r="N739" s="27" t="str">
        <f t="shared" si="137"/>
        <v>OTROS DESCUENTOS</v>
      </c>
      <c r="O739" s="4">
        <f t="shared" si="134"/>
        <v>120</v>
      </c>
      <c r="P739" s="4" t="s">
        <v>715</v>
      </c>
      <c r="Q739" s="4" t="str">
        <f t="shared" si="138"/>
        <v>2-1-0-13-30-15-120</v>
      </c>
      <c r="R739" s="4" t="str">
        <f t="shared" si="135"/>
        <v>DESCT. UTILES ESCOLARES PENSION JUBILADOS</v>
      </c>
    </row>
    <row r="740" spans="1:18" x14ac:dyDescent="0.2">
      <c r="A740" s="1">
        <v>2</v>
      </c>
      <c r="B740" s="6" t="str">
        <f>VLOOKUP(A740,'ACTIVOS CODIGO'!A:B,2,0)</f>
        <v>PASIVO</v>
      </c>
      <c r="C740" s="2">
        <v>1</v>
      </c>
      <c r="D740" s="7" t="str">
        <f>VLOOKUP(C740,'ACTIVOS CODIGO'!H:I,2,0)</f>
        <v>PASIVO DEL TESORO = PASIVO CORRIENTE</v>
      </c>
      <c r="E740" s="3"/>
      <c r="F740" s="8"/>
      <c r="G740" s="10">
        <v>133</v>
      </c>
      <c r="H740" s="10" t="str">
        <f>VLOOKUP(G740,'PUB 21'!$A$1:$B$29,2,0)</f>
        <v>DEPOSITOS DE TERCEROS</v>
      </c>
      <c r="I740"/>
      <c r="J740" s="4"/>
      <c r="K740">
        <v>15</v>
      </c>
      <c r="L740" s="4" t="s">
        <v>547</v>
      </c>
      <c r="M740" s="27" t="str">
        <f t="shared" si="136"/>
        <v>2-1-0-13-30-15</v>
      </c>
      <c r="N740" s="27" t="str">
        <f t="shared" si="137"/>
        <v>OTROS DESCUENTOS</v>
      </c>
      <c r="O740" s="4">
        <f t="shared" si="134"/>
        <v>121</v>
      </c>
      <c r="P740" s="4" t="s">
        <v>716</v>
      </c>
      <c r="Q740" s="4" t="str">
        <f t="shared" si="138"/>
        <v>2-1-0-13-30-15-121</v>
      </c>
      <c r="R740" s="4" t="str">
        <f t="shared" si="135"/>
        <v>DEST. RETRO AHORRO JUB. JUBILADOS</v>
      </c>
    </row>
    <row r="741" spans="1:18" x14ac:dyDescent="0.2">
      <c r="A741" s="1">
        <v>2</v>
      </c>
      <c r="B741" s="6" t="str">
        <f>VLOOKUP(A741,'ACTIVOS CODIGO'!A:B,2,0)</f>
        <v>PASIVO</v>
      </c>
      <c r="C741" s="2">
        <v>1</v>
      </c>
      <c r="D741" s="7" t="str">
        <f>VLOOKUP(C741,'ACTIVOS CODIGO'!H:I,2,0)</f>
        <v>PASIVO DEL TESORO = PASIVO CORRIENTE</v>
      </c>
      <c r="E741" s="3"/>
      <c r="F741" s="8"/>
      <c r="G741" s="10">
        <v>133</v>
      </c>
      <c r="H741" s="10" t="str">
        <f>VLOOKUP(G741,'PUB 21'!$A$1:$B$29,2,0)</f>
        <v>DEPOSITOS DE TERCEROS</v>
      </c>
      <c r="I741"/>
      <c r="J741" s="4"/>
      <c r="K741">
        <v>15</v>
      </c>
      <c r="L741" s="4" t="s">
        <v>547</v>
      </c>
      <c r="M741" s="27" t="str">
        <f t="shared" si="136"/>
        <v>2-1-0-13-30-15</v>
      </c>
      <c r="N741" s="27" t="str">
        <f t="shared" si="137"/>
        <v>OTROS DESCUENTOS</v>
      </c>
      <c r="O741" s="4">
        <f t="shared" si="134"/>
        <v>122</v>
      </c>
      <c r="P741" s="4" t="s">
        <v>717</v>
      </c>
      <c r="Q741" s="4" t="str">
        <f t="shared" si="138"/>
        <v>2-1-0-13-30-15-122</v>
      </c>
      <c r="R741" s="4" t="str">
        <f t="shared" si="135"/>
        <v>MONTEPIO DESC. SOBREVIVIENTES JUBILADOS</v>
      </c>
    </row>
    <row r="742" spans="1:18" x14ac:dyDescent="0.2">
      <c r="A742" s="1">
        <v>2</v>
      </c>
      <c r="B742" s="6" t="str">
        <f>VLOOKUP(A742,'ACTIVOS CODIGO'!A:B,2,0)</f>
        <v>PASIVO</v>
      </c>
      <c r="C742" s="2">
        <v>1</v>
      </c>
      <c r="D742" s="7" t="str">
        <f>VLOOKUP(C742,'ACTIVOS CODIGO'!H:I,2,0)</f>
        <v>PASIVO DEL TESORO = PASIVO CORRIENTE</v>
      </c>
      <c r="E742" s="3"/>
      <c r="F742" s="8"/>
      <c r="G742" s="10">
        <v>133</v>
      </c>
      <c r="H742" s="10" t="str">
        <f>VLOOKUP(G742,'PUB 21'!$A$1:$B$29,2,0)</f>
        <v>DEPOSITOS DE TERCEROS</v>
      </c>
      <c r="I742"/>
      <c r="J742" s="4"/>
      <c r="K742">
        <v>15</v>
      </c>
      <c r="L742" s="4" t="s">
        <v>547</v>
      </c>
      <c r="M742" s="27" t="str">
        <f t="shared" si="136"/>
        <v>2-1-0-13-30-15</v>
      </c>
      <c r="N742" s="27" t="str">
        <f t="shared" si="137"/>
        <v>OTROS DESCUENTOS</v>
      </c>
      <c r="O742" s="4">
        <f t="shared" si="134"/>
        <v>123</v>
      </c>
      <c r="P742" s="4" t="s">
        <v>718</v>
      </c>
      <c r="Q742" s="4" t="str">
        <f t="shared" si="138"/>
        <v>2-1-0-13-30-15-123</v>
      </c>
      <c r="R742" s="4" t="str">
        <f t="shared" si="135"/>
        <v>DESC. POLIZA H.C.M. JUBILADOS</v>
      </c>
    </row>
    <row r="743" spans="1:18" x14ac:dyDescent="0.2">
      <c r="A743" s="1">
        <v>2</v>
      </c>
      <c r="B743" s="6" t="str">
        <f>VLOOKUP(A743,'ACTIVOS CODIGO'!A:B,2,0)</f>
        <v>PASIVO</v>
      </c>
      <c r="C743" s="2">
        <v>1</v>
      </c>
      <c r="D743" s="7" t="str">
        <f>VLOOKUP(C743,'ACTIVOS CODIGO'!H:I,2,0)</f>
        <v>PASIVO DEL TESORO = PASIVO CORRIENTE</v>
      </c>
      <c r="E743" s="3"/>
      <c r="F743" s="8"/>
      <c r="G743" s="10">
        <v>133</v>
      </c>
      <c r="H743" s="10" t="str">
        <f>VLOOKUP(G743,'PUB 21'!$A$1:$B$29,2,0)</f>
        <v>DEPOSITOS DE TERCEROS</v>
      </c>
      <c r="I743"/>
      <c r="J743" s="4"/>
      <c r="K743">
        <v>15</v>
      </c>
      <c r="L743" s="4" t="s">
        <v>547</v>
      </c>
      <c r="M743" s="27" t="str">
        <f t="shared" si="136"/>
        <v>2-1-0-13-30-15</v>
      </c>
      <c r="N743" s="27" t="str">
        <f t="shared" si="137"/>
        <v>OTROS DESCUENTOS</v>
      </c>
      <c r="O743" s="4">
        <f t="shared" si="134"/>
        <v>124</v>
      </c>
      <c r="P743" s="4" t="s">
        <v>719</v>
      </c>
      <c r="Q743" s="4" t="str">
        <f t="shared" si="138"/>
        <v>2-1-0-13-30-15-124</v>
      </c>
      <c r="R743" s="4" t="str">
        <f t="shared" si="135"/>
        <v>PENS. ALIMENTCION I JUBILADOS</v>
      </c>
    </row>
    <row r="744" spans="1:18" x14ac:dyDescent="0.2">
      <c r="A744" s="1">
        <v>2</v>
      </c>
      <c r="B744" s="6" t="str">
        <f>VLOOKUP(A744,'ACTIVOS CODIGO'!A:B,2,0)</f>
        <v>PASIVO</v>
      </c>
      <c r="C744" s="2">
        <v>1</v>
      </c>
      <c r="D744" s="7" t="str">
        <f>VLOOKUP(C744,'ACTIVOS CODIGO'!H:I,2,0)</f>
        <v>PASIVO DEL TESORO = PASIVO CORRIENTE</v>
      </c>
      <c r="E744" s="3"/>
      <c r="F744" s="8"/>
      <c r="G744" s="10">
        <v>133</v>
      </c>
      <c r="H744" s="10" t="str">
        <f>VLOOKUP(G744,'PUB 21'!$A$1:$B$29,2,0)</f>
        <v>DEPOSITOS DE TERCEROS</v>
      </c>
      <c r="I744"/>
      <c r="J744" s="4"/>
      <c r="K744">
        <v>15</v>
      </c>
      <c r="L744" s="4" t="s">
        <v>547</v>
      </c>
      <c r="M744" s="27" t="str">
        <f t="shared" si="136"/>
        <v>2-1-0-13-30-15</v>
      </c>
      <c r="N744" s="27" t="str">
        <f t="shared" si="137"/>
        <v>OTROS DESCUENTOS</v>
      </c>
      <c r="O744" s="4">
        <f t="shared" si="134"/>
        <v>125</v>
      </c>
      <c r="P744" s="4" t="s">
        <v>720</v>
      </c>
      <c r="Q744" s="4" t="str">
        <f t="shared" si="138"/>
        <v>2-1-0-13-30-15-125</v>
      </c>
      <c r="R744" s="4" t="str">
        <f t="shared" si="135"/>
        <v>REINT. COBRO INDEB. JUBILADOS JUBILADOS</v>
      </c>
    </row>
    <row r="745" spans="1:18" x14ac:dyDescent="0.2">
      <c r="A745" s="1">
        <v>2</v>
      </c>
      <c r="B745" s="6" t="str">
        <f>VLOOKUP(A745,'ACTIVOS CODIGO'!A:B,2,0)</f>
        <v>PASIVO</v>
      </c>
      <c r="C745" s="2">
        <v>1</v>
      </c>
      <c r="D745" s="7" t="str">
        <f>VLOOKUP(C745,'ACTIVOS CODIGO'!H:I,2,0)</f>
        <v>PASIVO DEL TESORO = PASIVO CORRIENTE</v>
      </c>
      <c r="E745" s="3"/>
      <c r="F745" s="8"/>
      <c r="G745" s="10">
        <v>133</v>
      </c>
      <c r="H745" s="10" t="str">
        <f>VLOOKUP(G745,'PUB 21'!$A$1:$B$29,2,0)</f>
        <v>DEPOSITOS DE TERCEROS</v>
      </c>
      <c r="I745"/>
      <c r="J745" s="4"/>
      <c r="K745">
        <v>15</v>
      </c>
      <c r="L745" s="4" t="s">
        <v>547</v>
      </c>
      <c r="M745" s="27" t="str">
        <f t="shared" si="136"/>
        <v>2-1-0-13-30-15</v>
      </c>
      <c r="N745" s="27" t="str">
        <f t="shared" si="137"/>
        <v>OTROS DESCUENTOS</v>
      </c>
      <c r="O745" s="4">
        <f t="shared" si="134"/>
        <v>126</v>
      </c>
      <c r="P745" s="4" t="s">
        <v>721</v>
      </c>
      <c r="Q745" s="4" t="str">
        <f t="shared" si="138"/>
        <v>2-1-0-13-30-15-126</v>
      </c>
      <c r="R745" s="4" t="str">
        <f t="shared" si="135"/>
        <v>DESC. JUBIL. PENS. JUBILADOS</v>
      </c>
    </row>
    <row r="746" spans="1:18" x14ac:dyDescent="0.2">
      <c r="A746" s="1">
        <v>2</v>
      </c>
      <c r="B746" s="6" t="str">
        <f>VLOOKUP(A746,'ACTIVOS CODIGO'!A:B,2,0)</f>
        <v>PASIVO</v>
      </c>
      <c r="C746" s="2">
        <v>1</v>
      </c>
      <c r="D746" s="7" t="str">
        <f>VLOOKUP(C746,'ACTIVOS CODIGO'!H:I,2,0)</f>
        <v>PASIVO DEL TESORO = PASIVO CORRIENTE</v>
      </c>
      <c r="E746" s="3"/>
      <c r="F746" s="8"/>
      <c r="G746" s="10">
        <v>133</v>
      </c>
      <c r="H746" s="10" t="str">
        <f>VLOOKUP(G746,'PUB 21'!$A$1:$B$29,2,0)</f>
        <v>DEPOSITOS DE TERCEROS</v>
      </c>
      <c r="I746"/>
      <c r="J746" s="4"/>
      <c r="K746">
        <v>15</v>
      </c>
      <c r="L746" s="4" t="s">
        <v>547</v>
      </c>
      <c r="M746" s="27" t="str">
        <f t="shared" si="136"/>
        <v>2-1-0-13-30-15</v>
      </c>
      <c r="N746" s="27" t="str">
        <f t="shared" si="137"/>
        <v>OTROS DESCUENTOS</v>
      </c>
      <c r="O746" s="4">
        <f t="shared" si="134"/>
        <v>127</v>
      </c>
      <c r="P746" s="4" t="s">
        <v>722</v>
      </c>
      <c r="Q746" s="4" t="str">
        <f t="shared" si="138"/>
        <v>2-1-0-13-30-15-127</v>
      </c>
      <c r="R746" s="4" t="str">
        <f t="shared" si="135"/>
        <v>PREVENCION FAMILIAR JUBILADOS</v>
      </c>
    </row>
    <row r="747" spans="1:18" x14ac:dyDescent="0.2">
      <c r="A747" s="1">
        <v>2</v>
      </c>
      <c r="B747" s="6" t="str">
        <f>VLOOKUP(A747,'ACTIVOS CODIGO'!A:B,2,0)</f>
        <v>PASIVO</v>
      </c>
      <c r="C747" s="2">
        <v>1</v>
      </c>
      <c r="D747" s="7" t="str">
        <f>VLOOKUP(C747,'ACTIVOS CODIGO'!H:I,2,0)</f>
        <v>PASIVO DEL TESORO = PASIVO CORRIENTE</v>
      </c>
      <c r="E747" s="3"/>
      <c r="F747" s="8"/>
      <c r="G747" s="10">
        <v>133</v>
      </c>
      <c r="H747" s="10" t="str">
        <f>VLOOKUP(G747,'PUB 21'!$A$1:$B$29,2,0)</f>
        <v>DEPOSITOS DE TERCEROS</v>
      </c>
      <c r="I747"/>
      <c r="J747" s="4"/>
      <c r="K747">
        <v>15</v>
      </c>
      <c r="L747" s="4" t="s">
        <v>547</v>
      </c>
      <c r="M747" s="27" t="str">
        <f t="shared" si="136"/>
        <v>2-1-0-13-30-15</v>
      </c>
      <c r="N747" s="27" t="str">
        <f t="shared" si="137"/>
        <v>OTROS DESCUENTOS</v>
      </c>
      <c r="O747" s="4">
        <f t="shared" si="134"/>
        <v>128</v>
      </c>
      <c r="P747" s="4" t="s">
        <v>723</v>
      </c>
      <c r="Q747" s="4" t="str">
        <f t="shared" si="138"/>
        <v>2-1-0-13-30-15-128</v>
      </c>
      <c r="R747" s="4" t="str">
        <f t="shared" si="135"/>
        <v>PREST. CORTO PLAZO JUB. PENS. JUBILADOS</v>
      </c>
    </row>
    <row r="748" spans="1:18" x14ac:dyDescent="0.2">
      <c r="A748" s="1">
        <v>2</v>
      </c>
      <c r="B748" s="6" t="str">
        <f>VLOOKUP(A748,'ACTIVOS CODIGO'!A:B,2,0)</f>
        <v>PASIVO</v>
      </c>
      <c r="C748" s="2">
        <v>1</v>
      </c>
      <c r="D748" s="7" t="str">
        <f>VLOOKUP(C748,'ACTIVOS CODIGO'!H:I,2,0)</f>
        <v>PASIVO DEL TESORO = PASIVO CORRIENTE</v>
      </c>
      <c r="E748" s="3"/>
      <c r="F748" s="8"/>
      <c r="G748" s="10">
        <v>133</v>
      </c>
      <c r="H748" s="10" t="str">
        <f>VLOOKUP(G748,'PUB 21'!$A$1:$B$29,2,0)</f>
        <v>DEPOSITOS DE TERCEROS</v>
      </c>
      <c r="I748"/>
      <c r="J748" s="4"/>
      <c r="K748">
        <v>15</v>
      </c>
      <c r="L748" s="4" t="s">
        <v>547</v>
      </c>
      <c r="M748" s="27" t="str">
        <f t="shared" si="136"/>
        <v>2-1-0-13-30-15</v>
      </c>
      <c r="N748" s="27" t="str">
        <f t="shared" si="137"/>
        <v>OTROS DESCUENTOS</v>
      </c>
      <c r="O748" s="4">
        <f t="shared" si="134"/>
        <v>129</v>
      </c>
      <c r="P748" s="4" t="s">
        <v>724</v>
      </c>
      <c r="Q748" s="4" t="str">
        <f t="shared" si="138"/>
        <v>2-1-0-13-30-15-129</v>
      </c>
      <c r="R748" s="4" t="str">
        <f t="shared" si="135"/>
        <v>PREST. MEDIANO PLAZO JUBILADOS</v>
      </c>
    </row>
    <row r="749" spans="1:18" x14ac:dyDescent="0.2">
      <c r="A749" s="1">
        <v>2</v>
      </c>
      <c r="B749" s="6" t="str">
        <f>VLOOKUP(A749,'ACTIVOS CODIGO'!A:B,2,0)</f>
        <v>PASIVO</v>
      </c>
      <c r="C749" s="2">
        <v>1</v>
      </c>
      <c r="D749" s="7" t="str">
        <f>VLOOKUP(C749,'ACTIVOS CODIGO'!H:I,2,0)</f>
        <v>PASIVO DEL TESORO = PASIVO CORRIENTE</v>
      </c>
      <c r="E749" s="3"/>
      <c r="F749" s="8"/>
      <c r="G749" s="10">
        <v>133</v>
      </c>
      <c r="H749" s="10" t="str">
        <f>VLOOKUP(G749,'PUB 21'!$A$1:$B$29,2,0)</f>
        <v>DEPOSITOS DE TERCEROS</v>
      </c>
      <c r="I749"/>
      <c r="J749" s="4"/>
      <c r="K749">
        <v>15</v>
      </c>
      <c r="L749" s="4" t="s">
        <v>547</v>
      </c>
      <c r="M749" s="27" t="str">
        <f t="shared" si="136"/>
        <v>2-1-0-13-30-15</v>
      </c>
      <c r="N749" s="27" t="str">
        <f t="shared" si="137"/>
        <v>OTROS DESCUENTOS</v>
      </c>
      <c r="O749" s="4">
        <f t="shared" si="134"/>
        <v>130</v>
      </c>
      <c r="P749" s="4" t="s">
        <v>725</v>
      </c>
      <c r="Q749" s="4" t="str">
        <f t="shared" si="138"/>
        <v>2-1-0-13-30-15-130</v>
      </c>
      <c r="R749" s="4" t="str">
        <f t="shared" si="135"/>
        <v>PRESTAMO LINEA BLANCA JUBILADOS</v>
      </c>
    </row>
    <row r="750" spans="1:18" x14ac:dyDescent="0.2">
      <c r="A750" s="1">
        <v>2</v>
      </c>
      <c r="B750" s="6" t="str">
        <f>VLOOKUP(A750,'ACTIVOS CODIGO'!A:B,2,0)</f>
        <v>PASIVO</v>
      </c>
      <c r="C750" s="2">
        <v>1</v>
      </c>
      <c r="D750" s="7" t="str">
        <f>VLOOKUP(C750,'ACTIVOS CODIGO'!H:I,2,0)</f>
        <v>PASIVO DEL TESORO = PASIVO CORRIENTE</v>
      </c>
      <c r="E750" s="3"/>
      <c r="F750" s="8"/>
      <c r="G750" s="10">
        <v>133</v>
      </c>
      <c r="H750" s="10" t="str">
        <f>VLOOKUP(G750,'PUB 21'!$A$1:$B$29,2,0)</f>
        <v>DEPOSITOS DE TERCEROS</v>
      </c>
      <c r="I750"/>
      <c r="J750" s="4"/>
      <c r="K750">
        <v>15</v>
      </c>
      <c r="L750" s="4" t="s">
        <v>547</v>
      </c>
      <c r="M750" s="27" t="str">
        <f t="shared" si="136"/>
        <v>2-1-0-13-30-15</v>
      </c>
      <c r="N750" s="27" t="str">
        <f t="shared" si="137"/>
        <v>OTROS DESCUENTOS</v>
      </c>
      <c r="O750" s="4">
        <f t="shared" si="134"/>
        <v>131</v>
      </c>
      <c r="P750" s="4" t="s">
        <v>726</v>
      </c>
      <c r="Q750" s="4" t="str">
        <f t="shared" si="138"/>
        <v>2-1-0-13-30-15-131</v>
      </c>
      <c r="R750" s="4" t="str">
        <f t="shared" si="135"/>
        <v>PREST. ESPECIAL DESC. JUBIL. JUBILADOS</v>
      </c>
    </row>
    <row r="751" spans="1:18" x14ac:dyDescent="0.2">
      <c r="A751" s="1">
        <v>2</v>
      </c>
      <c r="B751" s="6" t="str">
        <f>VLOOKUP(A751,'ACTIVOS CODIGO'!A:B,2,0)</f>
        <v>PASIVO</v>
      </c>
      <c r="C751" s="2">
        <v>1</v>
      </c>
      <c r="D751" s="7" t="str">
        <f>VLOOKUP(C751,'ACTIVOS CODIGO'!H:I,2,0)</f>
        <v>PASIVO DEL TESORO = PASIVO CORRIENTE</v>
      </c>
      <c r="E751" s="3"/>
      <c r="F751" s="8"/>
      <c r="G751" s="10">
        <v>133</v>
      </c>
      <c r="H751" s="10" t="str">
        <f>VLOOKUP(G751,'PUB 21'!$A$1:$B$29,2,0)</f>
        <v>DEPOSITOS DE TERCEROS</v>
      </c>
      <c r="I751"/>
      <c r="J751" s="4"/>
      <c r="K751">
        <v>15</v>
      </c>
      <c r="L751" s="4" t="s">
        <v>547</v>
      </c>
      <c r="M751" s="27" t="str">
        <f t="shared" si="136"/>
        <v>2-1-0-13-30-15</v>
      </c>
      <c r="N751" s="27" t="str">
        <f t="shared" si="137"/>
        <v>OTROS DESCUENTOS</v>
      </c>
      <c r="O751" s="4">
        <f t="shared" si="134"/>
        <v>132</v>
      </c>
      <c r="P751" s="4" t="s">
        <v>727</v>
      </c>
      <c r="Q751" s="4" t="str">
        <f t="shared" si="138"/>
        <v>2-1-0-13-30-15-132</v>
      </c>
      <c r="R751" s="4" t="str">
        <f t="shared" si="135"/>
        <v>PREST. POR JAMONES JUBILADOS</v>
      </c>
    </row>
    <row r="752" spans="1:18" x14ac:dyDescent="0.2">
      <c r="A752" s="1">
        <v>2</v>
      </c>
      <c r="B752" s="6" t="str">
        <f>VLOOKUP(A752,'ACTIVOS CODIGO'!A:B,2,0)</f>
        <v>PASIVO</v>
      </c>
      <c r="C752" s="2">
        <v>1</v>
      </c>
      <c r="D752" s="7" t="str">
        <f>VLOOKUP(C752,'ACTIVOS CODIGO'!H:I,2,0)</f>
        <v>PASIVO DEL TESORO = PASIVO CORRIENTE</v>
      </c>
      <c r="E752" s="3"/>
      <c r="F752" s="8"/>
      <c r="G752" s="10">
        <v>133</v>
      </c>
      <c r="H752" s="10" t="str">
        <f>VLOOKUP(G752,'PUB 21'!$A$1:$B$29,2,0)</f>
        <v>DEPOSITOS DE TERCEROS</v>
      </c>
      <c r="I752"/>
      <c r="J752" s="4"/>
      <c r="K752">
        <v>15</v>
      </c>
      <c r="L752" s="4" t="s">
        <v>547</v>
      </c>
      <c r="M752" s="27" t="str">
        <f t="shared" si="136"/>
        <v>2-1-0-13-30-15</v>
      </c>
      <c r="N752" s="27" t="str">
        <f t="shared" si="137"/>
        <v>OTROS DESCUENTOS</v>
      </c>
      <c r="O752" s="4">
        <f t="shared" si="134"/>
        <v>133</v>
      </c>
      <c r="P752" s="4" t="s">
        <v>728</v>
      </c>
      <c r="Q752" s="4" t="str">
        <f t="shared" si="138"/>
        <v>2-1-0-13-30-15-133</v>
      </c>
      <c r="R752" s="4" t="str">
        <f t="shared" si="135"/>
        <v>PREST. POR JUGUETES JUBILADOS</v>
      </c>
    </row>
    <row r="753" spans="1:18" x14ac:dyDescent="0.2">
      <c r="A753" s="1">
        <v>2</v>
      </c>
      <c r="B753" s="6" t="str">
        <f>VLOOKUP(A753,'ACTIVOS CODIGO'!A:B,2,0)</f>
        <v>PASIVO</v>
      </c>
      <c r="C753" s="2">
        <v>1</v>
      </c>
      <c r="D753" s="7" t="str">
        <f>VLOOKUP(C753,'ACTIVOS CODIGO'!H:I,2,0)</f>
        <v>PASIVO DEL TESORO = PASIVO CORRIENTE</v>
      </c>
      <c r="E753" s="3"/>
      <c r="F753" s="8"/>
      <c r="G753" s="10">
        <v>133</v>
      </c>
      <c r="H753" s="10" t="str">
        <f>VLOOKUP(G753,'PUB 21'!$A$1:$B$29,2,0)</f>
        <v>DEPOSITOS DE TERCEROS</v>
      </c>
      <c r="I753"/>
      <c r="J753" s="4"/>
      <c r="K753">
        <v>15</v>
      </c>
      <c r="L753" s="4" t="s">
        <v>547</v>
      </c>
      <c r="M753" s="27" t="str">
        <f t="shared" si="136"/>
        <v>2-1-0-13-30-15</v>
      </c>
      <c r="N753" s="27" t="str">
        <f t="shared" si="137"/>
        <v>OTROS DESCUENTOS</v>
      </c>
      <c r="O753" s="4">
        <f t="shared" si="134"/>
        <v>134</v>
      </c>
      <c r="P753" s="4" t="s">
        <v>729</v>
      </c>
      <c r="Q753" s="4" t="str">
        <f t="shared" si="138"/>
        <v>2-1-0-13-30-15-134</v>
      </c>
      <c r="R753" s="4" t="str">
        <f t="shared" si="135"/>
        <v>PREST. POR PROVEEDURIA JUBILADOS</v>
      </c>
    </row>
    <row r="754" spans="1:18" x14ac:dyDescent="0.2">
      <c r="A754" s="1">
        <v>2</v>
      </c>
      <c r="B754" s="6" t="str">
        <f>VLOOKUP(A754,'ACTIVOS CODIGO'!A:B,2,0)</f>
        <v>PASIVO</v>
      </c>
      <c r="C754" s="2">
        <v>1</v>
      </c>
      <c r="D754" s="7" t="str">
        <f>VLOOKUP(C754,'ACTIVOS CODIGO'!H:I,2,0)</f>
        <v>PASIVO DEL TESORO = PASIVO CORRIENTE</v>
      </c>
      <c r="E754" s="3"/>
      <c r="F754" s="8"/>
      <c r="G754" s="10">
        <v>133</v>
      </c>
      <c r="H754" s="10" t="str">
        <f>VLOOKUP(G754,'PUB 21'!$A$1:$B$29,2,0)</f>
        <v>DEPOSITOS DE TERCEROS</v>
      </c>
      <c r="I754"/>
      <c r="J754" s="4"/>
      <c r="K754">
        <v>15</v>
      </c>
      <c r="L754" s="4" t="s">
        <v>547</v>
      </c>
      <c r="M754" s="27" t="str">
        <f t="shared" si="136"/>
        <v>2-1-0-13-30-15</v>
      </c>
      <c r="N754" s="27" t="str">
        <f t="shared" si="137"/>
        <v>OTROS DESCUENTOS</v>
      </c>
      <c r="O754" s="4">
        <f t="shared" si="134"/>
        <v>135</v>
      </c>
      <c r="P754" s="4" t="s">
        <v>730</v>
      </c>
      <c r="Q754" s="4" t="str">
        <f t="shared" si="138"/>
        <v>2-1-0-13-30-15-135</v>
      </c>
      <c r="R754" s="4" t="str">
        <f t="shared" si="135"/>
        <v>PREST. SERV. MEDICO JUBILADOS</v>
      </c>
    </row>
    <row r="755" spans="1:18" x14ac:dyDescent="0.2">
      <c r="A755" s="1">
        <v>2</v>
      </c>
      <c r="B755" s="6" t="str">
        <f>VLOOKUP(A755,'ACTIVOS CODIGO'!A:B,2,0)</f>
        <v>PASIVO</v>
      </c>
      <c r="C755" s="2">
        <v>1</v>
      </c>
      <c r="D755" s="7" t="str">
        <f>VLOOKUP(C755,'ACTIVOS CODIGO'!H:I,2,0)</f>
        <v>PASIVO DEL TESORO = PASIVO CORRIENTE</v>
      </c>
      <c r="E755" s="3"/>
      <c r="F755" s="8"/>
      <c r="G755" s="10">
        <v>133</v>
      </c>
      <c r="H755" s="10" t="str">
        <f>VLOOKUP(G755,'PUB 21'!$A$1:$B$29,2,0)</f>
        <v>DEPOSITOS DE TERCEROS</v>
      </c>
      <c r="I755"/>
      <c r="J755" s="4"/>
      <c r="K755">
        <v>15</v>
      </c>
      <c r="L755" s="4" t="s">
        <v>547</v>
      </c>
      <c r="M755" s="27" t="str">
        <f t="shared" si="136"/>
        <v>2-1-0-13-30-15</v>
      </c>
      <c r="N755" s="27" t="str">
        <f t="shared" si="137"/>
        <v>OTROS DESCUENTOS</v>
      </c>
      <c r="O755" s="4">
        <f t="shared" si="134"/>
        <v>136</v>
      </c>
      <c r="P755" s="4" t="s">
        <v>731</v>
      </c>
      <c r="Q755" s="4" t="str">
        <f t="shared" si="138"/>
        <v>2-1-0-13-30-15-136</v>
      </c>
      <c r="R755" s="4" t="str">
        <f t="shared" si="135"/>
        <v>PLAN VACAC. CATJOAMLDC JUBILADOS</v>
      </c>
    </row>
    <row r="756" spans="1:18" x14ac:dyDescent="0.2">
      <c r="A756" s="1">
        <v>2</v>
      </c>
      <c r="B756" s="6" t="str">
        <f>VLOOKUP(A756,'ACTIVOS CODIGO'!A:B,2,0)</f>
        <v>PASIVO</v>
      </c>
      <c r="C756" s="2">
        <v>1</v>
      </c>
      <c r="D756" s="7" t="str">
        <f>VLOOKUP(C756,'ACTIVOS CODIGO'!H:I,2,0)</f>
        <v>PASIVO DEL TESORO = PASIVO CORRIENTE</v>
      </c>
      <c r="E756" s="3"/>
      <c r="F756" s="8"/>
      <c r="G756" s="10">
        <v>133</v>
      </c>
      <c r="H756" s="10" t="str">
        <f>VLOOKUP(G756,'PUB 21'!$A$1:$B$29,2,0)</f>
        <v>DEPOSITOS DE TERCEROS</v>
      </c>
      <c r="I756"/>
      <c r="J756" s="4"/>
      <c r="K756">
        <v>15</v>
      </c>
      <c r="L756" s="4" t="s">
        <v>547</v>
      </c>
      <c r="M756" s="27" t="str">
        <f t="shared" si="136"/>
        <v>2-1-0-13-30-15</v>
      </c>
      <c r="N756" s="27" t="str">
        <f t="shared" si="137"/>
        <v>OTROS DESCUENTOS</v>
      </c>
      <c r="O756" s="4">
        <f t="shared" si="134"/>
        <v>137</v>
      </c>
      <c r="P756" s="4" t="s">
        <v>732</v>
      </c>
      <c r="Q756" s="4" t="str">
        <f t="shared" si="138"/>
        <v>2-1-0-13-30-15-137</v>
      </c>
      <c r="R756" s="4" t="str">
        <f t="shared" si="135"/>
        <v>DESC.  UTILES ESCOLARES JUBILADOS</v>
      </c>
    </row>
    <row r="757" spans="1:18" x14ac:dyDescent="0.2">
      <c r="A757" s="1">
        <v>2</v>
      </c>
      <c r="B757" s="6" t="str">
        <f>VLOOKUP(A757,'ACTIVOS CODIGO'!A:B,2,0)</f>
        <v>PASIVO</v>
      </c>
      <c r="C757" s="2">
        <v>1</v>
      </c>
      <c r="D757" s="7" t="str">
        <f>VLOOKUP(C757,'ACTIVOS CODIGO'!H:I,2,0)</f>
        <v>PASIVO DEL TESORO = PASIVO CORRIENTE</v>
      </c>
      <c r="E757" s="3"/>
      <c r="F757" s="8"/>
      <c r="G757" s="10">
        <v>133</v>
      </c>
      <c r="H757" s="10" t="str">
        <f>VLOOKUP(G757,'PUB 21'!$A$1:$B$29,2,0)</f>
        <v>DEPOSITOS DE TERCEROS</v>
      </c>
      <c r="I757"/>
      <c r="J757" s="4"/>
      <c r="K757">
        <v>15</v>
      </c>
      <c r="L757" s="4" t="s">
        <v>547</v>
      </c>
      <c r="M757" s="27" t="str">
        <f t="shared" si="136"/>
        <v>2-1-0-13-30-15</v>
      </c>
      <c r="N757" s="27" t="str">
        <f t="shared" si="137"/>
        <v>OTROS DESCUENTOS</v>
      </c>
      <c r="O757" s="4">
        <f t="shared" si="134"/>
        <v>138</v>
      </c>
      <c r="P757" s="4" t="s">
        <v>733</v>
      </c>
      <c r="Q757" s="4" t="str">
        <f t="shared" si="138"/>
        <v>2-1-0-13-30-15-138</v>
      </c>
      <c r="R757" s="4" t="str">
        <f t="shared" si="135"/>
        <v>SERV. INTEGRAL PREV. AMANECER JUBILADOS</v>
      </c>
    </row>
    <row r="758" spans="1:18" x14ac:dyDescent="0.2">
      <c r="A758" s="1">
        <v>2</v>
      </c>
      <c r="B758" s="6" t="str">
        <f>VLOOKUP(A758,'ACTIVOS CODIGO'!A:B,2,0)</f>
        <v>PASIVO</v>
      </c>
      <c r="C758" s="2">
        <v>1</v>
      </c>
      <c r="D758" s="7" t="str">
        <f>VLOOKUP(C758,'ACTIVOS CODIGO'!H:I,2,0)</f>
        <v>PASIVO DEL TESORO = PASIVO CORRIENTE</v>
      </c>
      <c r="E758" s="3"/>
      <c r="F758" s="8"/>
      <c r="G758" s="10">
        <v>133</v>
      </c>
      <c r="H758" s="10" t="str">
        <f>VLOOKUP(G758,'PUB 21'!$A$1:$B$29,2,0)</f>
        <v>DEPOSITOS DE TERCEROS</v>
      </c>
      <c r="I758"/>
      <c r="J758" s="4"/>
      <c r="K758">
        <v>15</v>
      </c>
      <c r="L758" s="4" t="s">
        <v>547</v>
      </c>
      <c r="M758" s="27" t="str">
        <f t="shared" si="136"/>
        <v>2-1-0-13-30-15</v>
      </c>
      <c r="N758" s="27" t="str">
        <f t="shared" si="137"/>
        <v>OTROS DESCUENTOS</v>
      </c>
      <c r="O758" s="4">
        <f t="shared" si="134"/>
        <v>139</v>
      </c>
      <c r="P758" s="4" t="s">
        <v>734</v>
      </c>
      <c r="Q758" s="4" t="str">
        <f t="shared" si="138"/>
        <v>2-1-0-13-30-15-139</v>
      </c>
      <c r="R758" s="4" t="str">
        <f t="shared" si="135"/>
        <v>PREST. MEDIANO CORTO PLAZO JUBILADOS</v>
      </c>
    </row>
    <row r="759" spans="1:18" x14ac:dyDescent="0.2">
      <c r="A759" s="1">
        <v>2</v>
      </c>
      <c r="B759" s="6" t="str">
        <f>VLOOKUP(A759,'ACTIVOS CODIGO'!A:B,2,0)</f>
        <v>PASIVO</v>
      </c>
      <c r="C759" s="2">
        <v>1</v>
      </c>
      <c r="D759" s="7" t="str">
        <f>VLOOKUP(C759,'ACTIVOS CODIGO'!H:I,2,0)</f>
        <v>PASIVO DEL TESORO = PASIVO CORRIENTE</v>
      </c>
      <c r="E759" s="3"/>
      <c r="F759" s="8"/>
      <c r="G759" s="10">
        <v>133</v>
      </c>
      <c r="H759" s="10" t="str">
        <f>VLOOKUP(G759,'PUB 21'!$A$1:$B$29,2,0)</f>
        <v>DEPOSITOS DE TERCEROS</v>
      </c>
      <c r="I759"/>
      <c r="J759" s="4"/>
      <c r="K759">
        <v>15</v>
      </c>
      <c r="L759" s="4" t="s">
        <v>547</v>
      </c>
      <c r="M759" s="27" t="str">
        <f t="shared" si="136"/>
        <v>2-1-0-13-30-15</v>
      </c>
      <c r="N759" s="27" t="str">
        <f t="shared" si="137"/>
        <v>OTROS DESCUENTOS</v>
      </c>
      <c r="O759" s="4">
        <f t="shared" si="134"/>
        <v>140</v>
      </c>
      <c r="P759" s="4" t="s">
        <v>735</v>
      </c>
      <c r="Q759" s="4" t="str">
        <f t="shared" si="138"/>
        <v>2-1-0-13-30-15-140</v>
      </c>
      <c r="R759" s="4" t="str">
        <f t="shared" si="135"/>
        <v>DESCUENTO H.C.M. JUBILADOS</v>
      </c>
    </row>
    <row r="760" spans="1:18" x14ac:dyDescent="0.2">
      <c r="A760" s="1">
        <v>2</v>
      </c>
      <c r="B760" s="6" t="str">
        <f>VLOOKUP(A760,'ACTIVOS CODIGO'!A:B,2,0)</f>
        <v>PASIVO</v>
      </c>
      <c r="C760" s="2">
        <v>1</v>
      </c>
      <c r="D760" s="7" t="str">
        <f>VLOOKUP(C760,'ACTIVOS CODIGO'!H:I,2,0)</f>
        <v>PASIVO DEL TESORO = PASIVO CORRIENTE</v>
      </c>
      <c r="E760" s="3"/>
      <c r="F760" s="8"/>
      <c r="G760" s="10">
        <v>133</v>
      </c>
      <c r="H760" s="10" t="str">
        <f>VLOOKUP(G760,'PUB 21'!$A$1:$B$29,2,0)</f>
        <v>DEPOSITOS DE TERCEROS</v>
      </c>
      <c r="I760"/>
      <c r="J760" s="4"/>
      <c r="K760">
        <v>15</v>
      </c>
      <c r="L760" s="4" t="s">
        <v>547</v>
      </c>
      <c r="M760" s="27" t="str">
        <f t="shared" si="136"/>
        <v>2-1-0-13-30-15</v>
      </c>
      <c r="N760" s="27" t="str">
        <f t="shared" si="137"/>
        <v>OTROS DESCUENTOS</v>
      </c>
      <c r="O760" s="4">
        <f t="shared" si="134"/>
        <v>141</v>
      </c>
      <c r="P760" s="4" t="s">
        <v>736</v>
      </c>
      <c r="Q760" s="4" t="str">
        <f t="shared" si="138"/>
        <v>2-1-0-13-30-15-141</v>
      </c>
      <c r="R760" s="4" t="str">
        <f t="shared" si="135"/>
        <v>IPASME DESC. APORTE JUB. JUBILADOS</v>
      </c>
    </row>
    <row r="761" spans="1:18" x14ac:dyDescent="0.2">
      <c r="A761" s="1">
        <v>2</v>
      </c>
      <c r="B761" s="6" t="str">
        <f>VLOOKUP(A761,'ACTIVOS CODIGO'!A:B,2,0)</f>
        <v>PASIVO</v>
      </c>
      <c r="C761" s="2">
        <v>1</v>
      </c>
      <c r="D761" s="7" t="str">
        <f>VLOOKUP(C761,'ACTIVOS CODIGO'!H:I,2,0)</f>
        <v>PASIVO DEL TESORO = PASIVO CORRIENTE</v>
      </c>
      <c r="E761" s="3"/>
      <c r="F761" s="8"/>
      <c r="G761" s="10">
        <v>133</v>
      </c>
      <c r="H761" s="10" t="str">
        <f>VLOOKUP(G761,'PUB 21'!$A$1:$B$29,2,0)</f>
        <v>DEPOSITOS DE TERCEROS</v>
      </c>
      <c r="I761"/>
      <c r="J761" s="4"/>
      <c r="K761">
        <v>15</v>
      </c>
      <c r="L761" s="4" t="s">
        <v>547</v>
      </c>
      <c r="M761" s="27" t="str">
        <f t="shared" si="136"/>
        <v>2-1-0-13-30-15</v>
      </c>
      <c r="N761" s="27" t="str">
        <f t="shared" si="137"/>
        <v>OTROS DESCUENTOS</v>
      </c>
      <c r="O761" s="4">
        <f t="shared" ref="O761:O824" si="139">IF(P761="",0,IF(M760=M761,IF(O760="",0,O760)+1,""))</f>
        <v>142</v>
      </c>
      <c r="P761" s="4" t="s">
        <v>737</v>
      </c>
      <c r="Q761" s="4" t="str">
        <f t="shared" si="138"/>
        <v>2-1-0-13-30-15-142</v>
      </c>
      <c r="R761" s="4" t="str">
        <f t="shared" si="135"/>
        <v>DESCUENTOS IPASME JUBILADOS</v>
      </c>
    </row>
    <row r="762" spans="1:18" x14ac:dyDescent="0.2">
      <c r="A762" s="1">
        <v>2</v>
      </c>
      <c r="B762" s="6" t="str">
        <f>VLOOKUP(A762,'ACTIVOS CODIGO'!A:B,2,0)</f>
        <v>PASIVO</v>
      </c>
      <c r="C762" s="2">
        <v>1</v>
      </c>
      <c r="D762" s="7" t="str">
        <f>VLOOKUP(C762,'ACTIVOS CODIGO'!H:I,2,0)</f>
        <v>PASIVO DEL TESORO = PASIVO CORRIENTE</v>
      </c>
      <c r="E762" s="3"/>
      <c r="F762" s="8"/>
      <c r="G762" s="10">
        <v>133</v>
      </c>
      <c r="H762" s="10" t="str">
        <f>VLOOKUP(G762,'PUB 21'!$A$1:$B$29,2,0)</f>
        <v>DEPOSITOS DE TERCEROS</v>
      </c>
      <c r="I762"/>
      <c r="J762" s="4"/>
      <c r="K762">
        <v>15</v>
      </c>
      <c r="L762" s="4" t="s">
        <v>547</v>
      </c>
      <c r="M762" s="27" t="str">
        <f t="shared" si="136"/>
        <v>2-1-0-13-30-15</v>
      </c>
      <c r="N762" s="27" t="str">
        <f t="shared" si="137"/>
        <v>OTROS DESCUENTOS</v>
      </c>
      <c r="O762" s="4">
        <f t="shared" si="139"/>
        <v>143</v>
      </c>
      <c r="P762" s="4" t="s">
        <v>738</v>
      </c>
      <c r="Q762" s="4" t="str">
        <f t="shared" si="138"/>
        <v>2-1-0-13-30-15-143</v>
      </c>
      <c r="R762" s="4" t="str">
        <f t="shared" si="135"/>
        <v>DESC. JUBILADO PENSIONADO JUBILADOS</v>
      </c>
    </row>
    <row r="763" spans="1:18" x14ac:dyDescent="0.2">
      <c r="A763" s="1">
        <v>2</v>
      </c>
      <c r="B763" s="6" t="str">
        <f>VLOOKUP(A763,'ACTIVOS CODIGO'!A:B,2,0)</f>
        <v>PASIVO</v>
      </c>
      <c r="C763" s="2">
        <v>1</v>
      </c>
      <c r="D763" s="7" t="str">
        <f>VLOOKUP(C763,'ACTIVOS CODIGO'!H:I,2,0)</f>
        <v>PASIVO DEL TESORO = PASIVO CORRIENTE</v>
      </c>
      <c r="E763" s="3"/>
      <c r="F763" s="8"/>
      <c r="G763" s="10">
        <v>133</v>
      </c>
      <c r="H763" s="10" t="str">
        <f>VLOOKUP(G763,'PUB 21'!$A$1:$B$29,2,0)</f>
        <v>DEPOSITOS DE TERCEROS</v>
      </c>
      <c r="I763"/>
      <c r="J763" s="4"/>
      <c r="K763">
        <v>15</v>
      </c>
      <c r="L763" s="4" t="s">
        <v>547</v>
      </c>
      <c r="M763" s="27" t="str">
        <f t="shared" si="136"/>
        <v>2-1-0-13-30-15</v>
      </c>
      <c r="N763" s="27" t="str">
        <f t="shared" si="137"/>
        <v>OTROS DESCUENTOS</v>
      </c>
      <c r="O763" s="4">
        <f t="shared" si="139"/>
        <v>144</v>
      </c>
      <c r="P763" s="4" t="s">
        <v>739</v>
      </c>
      <c r="Q763" s="4" t="str">
        <f t="shared" si="138"/>
        <v>2-1-0-13-30-15-144</v>
      </c>
      <c r="R763" s="4" t="str">
        <f t="shared" ref="R763:R826" si="140">IF(P763="",IF(L763="",IF(J763="",IF(H763="",IF(F763="",IF(D763="",B763,D763),F763),H763),J763),L763),P763)</f>
        <v>GIRO ESPEC. ADQUIS VEHICULO JUBILADOS</v>
      </c>
    </row>
    <row r="764" spans="1:18" x14ac:dyDescent="0.2">
      <c r="A764" s="1">
        <v>2</v>
      </c>
      <c r="B764" s="6" t="str">
        <f>VLOOKUP(A764,'ACTIVOS CODIGO'!A:B,2,0)</f>
        <v>PASIVO</v>
      </c>
      <c r="C764" s="2">
        <v>1</v>
      </c>
      <c r="D764" s="7" t="str">
        <f>VLOOKUP(C764,'ACTIVOS CODIGO'!H:I,2,0)</f>
        <v>PASIVO DEL TESORO = PASIVO CORRIENTE</v>
      </c>
      <c r="E764" s="3"/>
      <c r="F764" s="8"/>
      <c r="G764" s="10">
        <v>133</v>
      </c>
      <c r="H764" s="10" t="str">
        <f>VLOOKUP(G764,'PUB 21'!$A$1:$B$29,2,0)</f>
        <v>DEPOSITOS DE TERCEROS</v>
      </c>
      <c r="I764"/>
      <c r="J764" s="4"/>
      <c r="K764">
        <v>15</v>
      </c>
      <c r="L764" s="4" t="s">
        <v>547</v>
      </c>
      <c r="M764" s="27" t="str">
        <f t="shared" ref="M764:M793" si="141">CONCATENATE(TEXT(A764,"0"),"-",TEXT(C764,"0"),"-",TEXT(E764,"0"),"-",TEXT(LEFT(G764,2),"00"),"-",TEXT(RIGHT(G764,1),"0"),TEXT(I764,"0"),"-",TEXT(K764,"00"))</f>
        <v>2-1-0-13-30-15</v>
      </c>
      <c r="N764" s="27" t="str">
        <f t="shared" ref="N764:N793" si="142">IF(L764="",IF(J764="",IF(H764="",IF(F764="",IF(D764="",B764,D764),F764),H764),J764),L764)</f>
        <v>OTROS DESCUENTOS</v>
      </c>
      <c r="O764" s="4">
        <f t="shared" si="139"/>
        <v>145</v>
      </c>
      <c r="P764" s="4" t="s">
        <v>740</v>
      </c>
      <c r="Q764" s="4" t="str">
        <f t="shared" si="138"/>
        <v>2-1-0-13-30-15-145</v>
      </c>
      <c r="R764" s="4" t="str">
        <f t="shared" si="140"/>
        <v>DESCUENTO MONTEPIO JUBILADOS</v>
      </c>
    </row>
    <row r="765" spans="1:18" x14ac:dyDescent="0.2">
      <c r="A765" s="1">
        <v>2</v>
      </c>
      <c r="B765" s="6" t="str">
        <f>VLOOKUP(A765,'ACTIVOS CODIGO'!A:B,2,0)</f>
        <v>PASIVO</v>
      </c>
      <c r="C765" s="2">
        <v>1</v>
      </c>
      <c r="D765" s="7" t="str">
        <f>VLOOKUP(C765,'ACTIVOS CODIGO'!H:I,2,0)</f>
        <v>PASIVO DEL TESORO = PASIVO CORRIENTE</v>
      </c>
      <c r="E765" s="3"/>
      <c r="F765" s="8"/>
      <c r="G765" s="10">
        <v>133</v>
      </c>
      <c r="H765" s="10" t="str">
        <f>VLOOKUP(G765,'PUB 21'!$A$1:$B$29,2,0)</f>
        <v>DEPOSITOS DE TERCEROS</v>
      </c>
      <c r="I765"/>
      <c r="J765" s="4"/>
      <c r="K765">
        <v>15</v>
      </c>
      <c r="L765" s="4" t="s">
        <v>547</v>
      </c>
      <c r="M765" s="27" t="str">
        <f t="shared" si="141"/>
        <v>2-1-0-13-30-15</v>
      </c>
      <c r="N765" s="27" t="str">
        <f t="shared" si="142"/>
        <v>OTROS DESCUENTOS</v>
      </c>
      <c r="O765" s="4">
        <f t="shared" si="139"/>
        <v>146</v>
      </c>
      <c r="P765" s="4" t="s">
        <v>741</v>
      </c>
      <c r="Q765" s="4" t="str">
        <f t="shared" si="138"/>
        <v>2-1-0-13-30-15-146</v>
      </c>
      <c r="R765" s="4" t="str">
        <f t="shared" si="140"/>
        <v>DESCUENTO T.O JUBILADOS</v>
      </c>
    </row>
    <row r="766" spans="1:18" x14ac:dyDescent="0.2">
      <c r="A766" s="1">
        <v>2</v>
      </c>
      <c r="B766" s="6" t="str">
        <f>VLOOKUP(A766,'ACTIVOS CODIGO'!A:B,2,0)</f>
        <v>PASIVO</v>
      </c>
      <c r="C766" s="2">
        <v>1</v>
      </c>
      <c r="D766" s="7" t="str">
        <f>VLOOKUP(C766,'ACTIVOS CODIGO'!H:I,2,0)</f>
        <v>PASIVO DEL TESORO = PASIVO CORRIENTE</v>
      </c>
      <c r="E766" s="3"/>
      <c r="F766" s="8"/>
      <c r="G766" s="10">
        <v>133</v>
      </c>
      <c r="H766" s="10" t="str">
        <f>VLOOKUP(G766,'PUB 21'!$A$1:$B$29,2,0)</f>
        <v>DEPOSITOS DE TERCEROS</v>
      </c>
      <c r="I766"/>
      <c r="J766" s="4"/>
      <c r="K766">
        <v>15</v>
      </c>
      <c r="L766" s="4" t="s">
        <v>547</v>
      </c>
      <c r="M766" s="27" t="str">
        <f t="shared" si="141"/>
        <v>2-1-0-13-30-15</v>
      </c>
      <c r="N766" s="27" t="str">
        <f t="shared" si="142"/>
        <v>OTROS DESCUENTOS</v>
      </c>
      <c r="O766" s="4">
        <f t="shared" si="139"/>
        <v>147</v>
      </c>
      <c r="P766" s="4" t="s">
        <v>742</v>
      </c>
      <c r="Q766" s="4" t="str">
        <f t="shared" si="138"/>
        <v>2-1-0-13-30-15-147</v>
      </c>
      <c r="R766" s="4" t="str">
        <f t="shared" si="140"/>
        <v>DESC. JUBILADO/PENSIONADO JUBILADOS</v>
      </c>
    </row>
    <row r="767" spans="1:18" x14ac:dyDescent="0.2">
      <c r="A767" s="1">
        <v>2</v>
      </c>
      <c r="B767" s="6" t="str">
        <f>VLOOKUP(A767,'ACTIVOS CODIGO'!A:B,2,0)</f>
        <v>PASIVO</v>
      </c>
      <c r="C767" s="2">
        <v>1</v>
      </c>
      <c r="D767" s="7" t="str">
        <f>VLOOKUP(C767,'ACTIVOS CODIGO'!H:I,2,0)</f>
        <v>PASIVO DEL TESORO = PASIVO CORRIENTE</v>
      </c>
      <c r="E767" s="3"/>
      <c r="F767" s="8"/>
      <c r="G767" s="10">
        <v>133</v>
      </c>
      <c r="H767" s="10" t="str">
        <f>VLOOKUP(G767,'PUB 21'!$A$1:$B$29,2,0)</f>
        <v>DEPOSITOS DE TERCEROS</v>
      </c>
      <c r="I767"/>
      <c r="J767" s="4"/>
      <c r="K767">
        <v>15</v>
      </c>
      <c r="L767" s="4" t="s">
        <v>547</v>
      </c>
      <c r="M767" s="27" t="str">
        <f t="shared" si="141"/>
        <v>2-1-0-13-30-15</v>
      </c>
      <c r="N767" s="27" t="str">
        <f t="shared" si="142"/>
        <v>OTROS DESCUENTOS</v>
      </c>
      <c r="O767" s="4">
        <f t="shared" si="139"/>
        <v>148</v>
      </c>
      <c r="P767" s="4" t="s">
        <v>743</v>
      </c>
      <c r="Q767" s="4" t="str">
        <f t="shared" si="138"/>
        <v>2-1-0-13-30-15-148</v>
      </c>
      <c r="R767" s="4" t="str">
        <f t="shared" si="140"/>
        <v>PRESTAMO ESPECIAL JUBILADOS</v>
      </c>
    </row>
    <row r="768" spans="1:18" x14ac:dyDescent="0.2">
      <c r="A768" s="1">
        <v>2</v>
      </c>
      <c r="B768" s="6" t="str">
        <f>VLOOKUP(A768,'ACTIVOS CODIGO'!A:B,2,0)</f>
        <v>PASIVO</v>
      </c>
      <c r="C768" s="2">
        <v>1</v>
      </c>
      <c r="D768" s="7" t="str">
        <f>VLOOKUP(C768,'ACTIVOS CODIGO'!H:I,2,0)</f>
        <v>PASIVO DEL TESORO = PASIVO CORRIENTE</v>
      </c>
      <c r="E768" s="3"/>
      <c r="F768" s="8"/>
      <c r="G768" s="10">
        <v>133</v>
      </c>
      <c r="H768" s="10" t="str">
        <f>VLOOKUP(G768,'PUB 21'!$A$1:$B$29,2,0)</f>
        <v>DEPOSITOS DE TERCEROS</v>
      </c>
      <c r="I768"/>
      <c r="J768" s="4"/>
      <c r="K768">
        <v>15</v>
      </c>
      <c r="L768" s="4" t="s">
        <v>547</v>
      </c>
      <c r="M768" s="27" t="str">
        <f t="shared" si="141"/>
        <v>2-1-0-13-30-15</v>
      </c>
      <c r="N768" s="27" t="str">
        <f t="shared" si="142"/>
        <v>OTROS DESCUENTOS</v>
      </c>
      <c r="O768" s="4">
        <f t="shared" si="139"/>
        <v>149</v>
      </c>
      <c r="P768" s="4" t="s">
        <v>744</v>
      </c>
      <c r="Q768" s="4" t="str">
        <f t="shared" si="138"/>
        <v>2-1-0-13-30-15-149</v>
      </c>
      <c r="R768" s="4" t="str">
        <f t="shared" si="140"/>
        <v>PENSION ALIMENT. AGUINALDOS JUBILADOS</v>
      </c>
    </row>
    <row r="769" spans="1:18" x14ac:dyDescent="0.2">
      <c r="A769" s="1">
        <v>2</v>
      </c>
      <c r="B769" s="6" t="str">
        <f>VLOOKUP(A769,'ACTIVOS CODIGO'!A:B,2,0)</f>
        <v>PASIVO</v>
      </c>
      <c r="C769" s="2">
        <v>1</v>
      </c>
      <c r="D769" s="7" t="str">
        <f>VLOOKUP(C769,'ACTIVOS CODIGO'!H:I,2,0)</f>
        <v>PASIVO DEL TESORO = PASIVO CORRIENTE</v>
      </c>
      <c r="E769" s="3"/>
      <c r="F769" s="8"/>
      <c r="G769" s="10">
        <v>133</v>
      </c>
      <c r="H769" s="10" t="str">
        <f>VLOOKUP(G769,'PUB 21'!$A$1:$B$29,2,0)</f>
        <v>DEPOSITOS DE TERCEROS</v>
      </c>
      <c r="I769"/>
      <c r="J769" s="4"/>
      <c r="K769">
        <v>15</v>
      </c>
      <c r="L769" s="4" t="s">
        <v>547</v>
      </c>
      <c r="M769" s="27" t="str">
        <f t="shared" si="141"/>
        <v>2-1-0-13-30-15</v>
      </c>
      <c r="N769" s="27" t="str">
        <f t="shared" si="142"/>
        <v>OTROS DESCUENTOS</v>
      </c>
      <c r="O769" s="4">
        <f t="shared" si="139"/>
        <v>150</v>
      </c>
      <c r="P769" s="4" t="s">
        <v>745</v>
      </c>
      <c r="Q769" s="4" t="str">
        <f t="shared" si="138"/>
        <v>2-1-0-13-30-15-150</v>
      </c>
      <c r="R769" s="4" t="str">
        <f t="shared" si="140"/>
        <v>PARCELA JUBILDOS CFULCAML JUBILADOS</v>
      </c>
    </row>
    <row r="770" spans="1:18" x14ac:dyDescent="0.2">
      <c r="A770" s="1">
        <v>2</v>
      </c>
      <c r="B770" s="6" t="str">
        <f>VLOOKUP(A770,'ACTIVOS CODIGO'!A:B,2,0)</f>
        <v>PASIVO</v>
      </c>
      <c r="C770" s="2">
        <v>1</v>
      </c>
      <c r="D770" s="7" t="str">
        <f>VLOOKUP(C770,'ACTIVOS CODIGO'!H:I,2,0)</f>
        <v>PASIVO DEL TESORO = PASIVO CORRIENTE</v>
      </c>
      <c r="E770" s="3"/>
      <c r="F770" s="8"/>
      <c r="G770" s="10">
        <v>133</v>
      </c>
      <c r="H770" s="10" t="str">
        <f>VLOOKUP(G770,'PUB 21'!$A$1:$B$29,2,0)</f>
        <v>DEPOSITOS DE TERCEROS</v>
      </c>
      <c r="I770"/>
      <c r="J770" s="4"/>
      <c r="K770">
        <v>15</v>
      </c>
      <c r="L770" s="4" t="s">
        <v>547</v>
      </c>
      <c r="M770" s="27" t="str">
        <f t="shared" si="141"/>
        <v>2-1-0-13-30-15</v>
      </c>
      <c r="N770" s="27" t="str">
        <f t="shared" si="142"/>
        <v>OTROS DESCUENTOS</v>
      </c>
      <c r="O770" s="4">
        <f t="shared" si="139"/>
        <v>151</v>
      </c>
      <c r="P770" s="4" t="s">
        <v>746</v>
      </c>
      <c r="Q770" s="4" t="str">
        <f t="shared" si="138"/>
        <v>2-1-0-13-30-15-151</v>
      </c>
      <c r="R770" s="4" t="str">
        <f t="shared" si="140"/>
        <v>HIPOTECARIO JUBILADOS JUBILADOS</v>
      </c>
    </row>
    <row r="771" spans="1:18" x14ac:dyDescent="0.2">
      <c r="A771" s="1">
        <v>2</v>
      </c>
      <c r="B771" s="6" t="str">
        <f>VLOOKUP(A771,'ACTIVOS CODIGO'!A:B,2,0)</f>
        <v>PASIVO</v>
      </c>
      <c r="C771" s="2">
        <v>1</v>
      </c>
      <c r="D771" s="7" t="str">
        <f>VLOOKUP(C771,'ACTIVOS CODIGO'!H:I,2,0)</f>
        <v>PASIVO DEL TESORO = PASIVO CORRIENTE</v>
      </c>
      <c r="E771" s="3"/>
      <c r="F771" s="8"/>
      <c r="G771" s="10">
        <v>133</v>
      </c>
      <c r="H771" s="10" t="str">
        <f>VLOOKUP(G771,'PUB 21'!$A$1:$B$29,2,0)</f>
        <v>DEPOSITOS DE TERCEROS</v>
      </c>
      <c r="I771"/>
      <c r="J771" s="4"/>
      <c r="K771">
        <v>15</v>
      </c>
      <c r="L771" s="4" t="s">
        <v>547</v>
      </c>
      <c r="M771" s="27" t="str">
        <f t="shared" si="141"/>
        <v>2-1-0-13-30-15</v>
      </c>
      <c r="N771" s="27" t="str">
        <f t="shared" si="142"/>
        <v>OTROS DESCUENTOS</v>
      </c>
      <c r="O771" s="4">
        <f t="shared" si="139"/>
        <v>152</v>
      </c>
      <c r="P771" s="4" t="s">
        <v>747</v>
      </c>
      <c r="Q771" s="4" t="str">
        <f t="shared" si="138"/>
        <v>2-1-0-13-30-15-152</v>
      </c>
      <c r="R771" s="4" t="str">
        <f t="shared" si="140"/>
        <v>POLIZA JUBILADOS JUBILADOS</v>
      </c>
    </row>
    <row r="772" spans="1:18" x14ac:dyDescent="0.2">
      <c r="A772" s="1">
        <v>2</v>
      </c>
      <c r="B772" s="6" t="str">
        <f>VLOOKUP(A772,'ACTIVOS CODIGO'!A:B,2,0)</f>
        <v>PASIVO</v>
      </c>
      <c r="C772" s="2">
        <v>1</v>
      </c>
      <c r="D772" s="7" t="str">
        <f>VLOOKUP(C772,'ACTIVOS CODIGO'!H:I,2,0)</f>
        <v>PASIVO DEL TESORO = PASIVO CORRIENTE</v>
      </c>
      <c r="E772" s="3"/>
      <c r="F772" s="8"/>
      <c r="G772" s="10">
        <v>133</v>
      </c>
      <c r="H772" s="10" t="str">
        <f>VLOOKUP(G772,'PUB 21'!$A$1:$B$29,2,0)</f>
        <v>DEPOSITOS DE TERCEROS</v>
      </c>
      <c r="I772"/>
      <c r="J772" s="4"/>
      <c r="K772">
        <v>15</v>
      </c>
      <c r="L772" s="4" t="s">
        <v>547</v>
      </c>
      <c r="M772" s="27" t="str">
        <f t="shared" si="141"/>
        <v>2-1-0-13-30-15</v>
      </c>
      <c r="N772" s="27" t="str">
        <f t="shared" si="142"/>
        <v>OTROS DESCUENTOS</v>
      </c>
      <c r="O772" s="4">
        <f t="shared" si="139"/>
        <v>153</v>
      </c>
      <c r="P772" s="4" t="s">
        <v>748</v>
      </c>
      <c r="Q772" s="4" t="str">
        <f t="shared" si="138"/>
        <v>2-1-0-13-30-15-153</v>
      </c>
      <c r="R772" s="4" t="str">
        <f t="shared" si="140"/>
        <v>DESC. MICROCREDITO JUBILADOS</v>
      </c>
    </row>
    <row r="773" spans="1:18" x14ac:dyDescent="0.2">
      <c r="A773" s="1">
        <v>2</v>
      </c>
      <c r="B773" s="6" t="str">
        <f>VLOOKUP(A773,'ACTIVOS CODIGO'!A:B,2,0)</f>
        <v>PASIVO</v>
      </c>
      <c r="C773" s="2">
        <v>1</v>
      </c>
      <c r="D773" s="7" t="str">
        <f>VLOOKUP(C773,'ACTIVOS CODIGO'!H:I,2,0)</f>
        <v>PASIVO DEL TESORO = PASIVO CORRIENTE</v>
      </c>
      <c r="E773" s="3"/>
      <c r="F773" s="8"/>
      <c r="G773" s="10">
        <v>133</v>
      </c>
      <c r="H773" s="10" t="str">
        <f>VLOOKUP(G773,'PUB 21'!$A$1:$B$29,2,0)</f>
        <v>DEPOSITOS DE TERCEROS</v>
      </c>
      <c r="I773"/>
      <c r="J773" s="4"/>
      <c r="K773">
        <v>15</v>
      </c>
      <c r="L773" s="4" t="s">
        <v>547</v>
      </c>
      <c r="M773" s="27" t="str">
        <f t="shared" si="141"/>
        <v>2-1-0-13-30-15</v>
      </c>
      <c r="N773" s="27" t="str">
        <f t="shared" si="142"/>
        <v>OTROS DESCUENTOS</v>
      </c>
      <c r="O773" s="4">
        <f t="shared" si="139"/>
        <v>154</v>
      </c>
      <c r="P773" s="4" t="s">
        <v>749</v>
      </c>
      <c r="Q773" s="4" t="str">
        <f t="shared" si="138"/>
        <v>2-1-0-13-30-15-154</v>
      </c>
      <c r="R773" s="4" t="str">
        <f t="shared" si="140"/>
        <v>DESC, LARGO PLAZO JUBILADOS</v>
      </c>
    </row>
    <row r="774" spans="1:18" x14ac:dyDescent="0.2">
      <c r="A774" s="1">
        <v>2</v>
      </c>
      <c r="B774" s="6" t="str">
        <f>VLOOKUP(A774,'ACTIVOS CODIGO'!A:B,2,0)</f>
        <v>PASIVO</v>
      </c>
      <c r="C774" s="2">
        <v>1</v>
      </c>
      <c r="D774" s="7" t="str">
        <f>VLOOKUP(C774,'ACTIVOS CODIGO'!H:I,2,0)</f>
        <v>PASIVO DEL TESORO = PASIVO CORRIENTE</v>
      </c>
      <c r="E774" s="3"/>
      <c r="F774" s="8"/>
      <c r="G774" s="10">
        <v>133</v>
      </c>
      <c r="H774" s="10" t="str">
        <f>VLOOKUP(G774,'PUB 21'!$A$1:$B$29,2,0)</f>
        <v>DEPOSITOS DE TERCEROS</v>
      </c>
      <c r="I774"/>
      <c r="J774" s="4"/>
      <c r="K774">
        <v>15</v>
      </c>
      <c r="L774" s="4" t="s">
        <v>547</v>
      </c>
      <c r="M774" s="27" t="str">
        <f t="shared" si="141"/>
        <v>2-1-0-13-30-15</v>
      </c>
      <c r="N774" s="27" t="str">
        <f t="shared" si="142"/>
        <v>OTROS DESCUENTOS</v>
      </c>
      <c r="O774" s="4">
        <f t="shared" si="139"/>
        <v>155</v>
      </c>
      <c r="P774" s="4" t="s">
        <v>750</v>
      </c>
      <c r="Q774" s="4" t="str">
        <f t="shared" si="138"/>
        <v>2-1-0-13-30-15-155</v>
      </c>
      <c r="R774" s="4" t="str">
        <f t="shared" si="140"/>
        <v>DCTO. POLIZA PREVISORA JUBILADOS JUBILADOS</v>
      </c>
    </row>
    <row r="775" spans="1:18" x14ac:dyDescent="0.2">
      <c r="A775" s="1">
        <v>2</v>
      </c>
      <c r="B775" s="6" t="str">
        <f>VLOOKUP(A775,'ACTIVOS CODIGO'!A:B,2,0)</f>
        <v>PASIVO</v>
      </c>
      <c r="C775" s="2">
        <v>1</v>
      </c>
      <c r="D775" s="7" t="str">
        <f>VLOOKUP(C775,'ACTIVOS CODIGO'!H:I,2,0)</f>
        <v>PASIVO DEL TESORO = PASIVO CORRIENTE</v>
      </c>
      <c r="E775" s="3"/>
      <c r="F775" s="8"/>
      <c r="G775" s="10">
        <v>133</v>
      </c>
      <c r="H775" s="10" t="str">
        <f>VLOOKUP(G775,'PUB 21'!$A$1:$B$29,2,0)</f>
        <v>DEPOSITOS DE TERCEROS</v>
      </c>
      <c r="I775"/>
      <c r="J775" s="4"/>
      <c r="K775">
        <v>15</v>
      </c>
      <c r="L775" s="4" t="s">
        <v>547</v>
      </c>
      <c r="M775" s="27" t="str">
        <f t="shared" si="141"/>
        <v>2-1-0-13-30-15</v>
      </c>
      <c r="N775" s="27" t="str">
        <f t="shared" si="142"/>
        <v>OTROS DESCUENTOS</v>
      </c>
      <c r="O775" s="4">
        <f t="shared" si="139"/>
        <v>156</v>
      </c>
      <c r="P775" s="4" t="s">
        <v>751</v>
      </c>
      <c r="Q775" s="4" t="str">
        <f t="shared" si="138"/>
        <v>2-1-0-13-30-15-156</v>
      </c>
      <c r="R775" s="4" t="str">
        <f t="shared" si="140"/>
        <v>DCTO. DE AHORRO JUBI JUBILADOS</v>
      </c>
    </row>
    <row r="776" spans="1:18" x14ac:dyDescent="0.2">
      <c r="A776" s="1">
        <v>2</v>
      </c>
      <c r="B776" s="6" t="str">
        <f>VLOOKUP(A776,'ACTIVOS CODIGO'!A:B,2,0)</f>
        <v>PASIVO</v>
      </c>
      <c r="C776" s="2">
        <v>1</v>
      </c>
      <c r="D776" s="7" t="str">
        <f>VLOOKUP(C776,'ACTIVOS CODIGO'!H:I,2,0)</f>
        <v>PASIVO DEL TESORO = PASIVO CORRIENTE</v>
      </c>
      <c r="E776" s="3"/>
      <c r="F776" s="8"/>
      <c r="G776" s="10">
        <v>133</v>
      </c>
      <c r="H776" s="10" t="str">
        <f>VLOOKUP(G776,'PUB 21'!$A$1:$B$29,2,0)</f>
        <v>DEPOSITOS DE TERCEROS</v>
      </c>
      <c r="I776"/>
      <c r="J776" s="4"/>
      <c r="K776">
        <v>15</v>
      </c>
      <c r="L776" s="4" t="s">
        <v>547</v>
      </c>
      <c r="M776" s="27" t="str">
        <f t="shared" si="141"/>
        <v>2-1-0-13-30-15</v>
      </c>
      <c r="N776" s="27" t="str">
        <f t="shared" si="142"/>
        <v>OTROS DESCUENTOS</v>
      </c>
      <c r="O776" s="4">
        <f t="shared" si="139"/>
        <v>157</v>
      </c>
      <c r="P776" s="4" t="s">
        <v>752</v>
      </c>
      <c r="Q776" s="4" t="str">
        <f t="shared" si="138"/>
        <v>2-1-0-13-30-15-157</v>
      </c>
      <c r="R776" s="4" t="str">
        <f t="shared" si="140"/>
        <v>REINTEGRO AUMENTO SUELDO JUBILADOS</v>
      </c>
    </row>
    <row r="777" spans="1:18" x14ac:dyDescent="0.2">
      <c r="A777" s="1">
        <v>2</v>
      </c>
      <c r="B777" s="6" t="str">
        <f>VLOOKUP(A777,'ACTIVOS CODIGO'!A:B,2,0)</f>
        <v>PASIVO</v>
      </c>
      <c r="C777" s="2">
        <v>1</v>
      </c>
      <c r="D777" s="7" t="str">
        <f>VLOOKUP(C777,'ACTIVOS CODIGO'!H:I,2,0)</f>
        <v>PASIVO DEL TESORO = PASIVO CORRIENTE</v>
      </c>
      <c r="E777" s="3"/>
      <c r="F777" s="8"/>
      <c r="G777" s="10">
        <v>133</v>
      </c>
      <c r="H777" s="10" t="str">
        <f>VLOOKUP(G777,'PUB 21'!$A$1:$B$29,2,0)</f>
        <v>DEPOSITOS DE TERCEROS</v>
      </c>
      <c r="I777"/>
      <c r="J777" s="4"/>
      <c r="K777">
        <v>15</v>
      </c>
      <c r="L777" s="4" t="s">
        <v>547</v>
      </c>
      <c r="M777" s="27" t="str">
        <f t="shared" si="141"/>
        <v>2-1-0-13-30-15</v>
      </c>
      <c r="N777" s="27" t="str">
        <f t="shared" si="142"/>
        <v>OTROS DESCUENTOS</v>
      </c>
      <c r="O777" s="4">
        <f t="shared" si="139"/>
        <v>158</v>
      </c>
      <c r="P777" s="4" t="s">
        <v>753</v>
      </c>
      <c r="Q777" s="4" t="str">
        <f t="shared" si="138"/>
        <v>2-1-0-13-30-15-158</v>
      </c>
      <c r="R777" s="4" t="str">
        <f t="shared" si="140"/>
        <v>PREST. JUB. CAENSUMATMBL JUBILADOS</v>
      </c>
    </row>
    <row r="778" spans="1:18" x14ac:dyDescent="0.2">
      <c r="A778" s="1">
        <v>2</v>
      </c>
      <c r="B778" s="6" t="str">
        <f>VLOOKUP(A778,'ACTIVOS CODIGO'!A:B,2,0)</f>
        <v>PASIVO</v>
      </c>
      <c r="C778" s="2">
        <v>1</v>
      </c>
      <c r="D778" s="7" t="str">
        <f>VLOOKUP(C778,'ACTIVOS CODIGO'!H:I,2,0)</f>
        <v>PASIVO DEL TESORO = PASIVO CORRIENTE</v>
      </c>
      <c r="E778" s="3"/>
      <c r="F778" s="8"/>
      <c r="G778" s="10">
        <v>133</v>
      </c>
      <c r="H778" s="10" t="str">
        <f>VLOOKUP(G778,'PUB 21'!$A$1:$B$29,2,0)</f>
        <v>DEPOSITOS DE TERCEROS</v>
      </c>
      <c r="I778"/>
      <c r="J778" s="4"/>
      <c r="K778">
        <v>15</v>
      </c>
      <c r="L778" s="4" t="s">
        <v>547</v>
      </c>
      <c r="M778" s="27" t="str">
        <f t="shared" si="141"/>
        <v>2-1-0-13-30-15</v>
      </c>
      <c r="N778" s="27" t="str">
        <f t="shared" si="142"/>
        <v>OTROS DESCUENTOS</v>
      </c>
      <c r="O778" s="4">
        <f t="shared" si="139"/>
        <v>159</v>
      </c>
      <c r="P778" s="4" t="s">
        <v>754</v>
      </c>
      <c r="Q778" s="4" t="str">
        <f t="shared" si="138"/>
        <v>2-1-0-13-30-15-159</v>
      </c>
      <c r="R778" s="4" t="str">
        <f t="shared" si="140"/>
        <v>PRESTAMO A CORTO PLAZO JUBILADOS</v>
      </c>
    </row>
    <row r="779" spans="1:18" x14ac:dyDescent="0.2">
      <c r="A779" s="1">
        <v>2</v>
      </c>
      <c r="B779" s="6" t="str">
        <f>VLOOKUP(A779,'ACTIVOS CODIGO'!A:B,2,0)</f>
        <v>PASIVO</v>
      </c>
      <c r="C779" s="2">
        <v>1</v>
      </c>
      <c r="D779" s="7" t="str">
        <f>VLOOKUP(C779,'ACTIVOS CODIGO'!H:I,2,0)</f>
        <v>PASIVO DEL TESORO = PASIVO CORRIENTE</v>
      </c>
      <c r="E779" s="3"/>
      <c r="F779" s="8"/>
      <c r="G779" s="10">
        <v>133</v>
      </c>
      <c r="H779" s="10" t="str">
        <f>VLOOKUP(G779,'PUB 21'!$A$1:$B$29,2,0)</f>
        <v>DEPOSITOS DE TERCEROS</v>
      </c>
      <c r="I779"/>
      <c r="J779" s="4"/>
      <c r="K779">
        <v>15</v>
      </c>
      <c r="L779" s="4" t="s">
        <v>547</v>
      </c>
      <c r="M779" s="27" t="str">
        <f t="shared" si="141"/>
        <v>2-1-0-13-30-15</v>
      </c>
      <c r="N779" s="27" t="str">
        <f t="shared" si="142"/>
        <v>OTROS DESCUENTOS</v>
      </c>
      <c r="O779" s="4">
        <f t="shared" si="139"/>
        <v>160</v>
      </c>
      <c r="P779" s="4" t="s">
        <v>755</v>
      </c>
      <c r="Q779" s="4" t="str">
        <f t="shared" si="138"/>
        <v>2-1-0-13-30-15-160</v>
      </c>
      <c r="R779" s="4" t="str">
        <f t="shared" si="140"/>
        <v>SERVICIO ODONTOLOGICO JUBILADOS</v>
      </c>
    </row>
    <row r="780" spans="1:18" x14ac:dyDescent="0.2">
      <c r="A780" s="1">
        <v>2</v>
      </c>
      <c r="B780" s="6" t="str">
        <f>VLOOKUP(A780,'ACTIVOS CODIGO'!A:B,2,0)</f>
        <v>PASIVO</v>
      </c>
      <c r="C780" s="2">
        <v>1</v>
      </c>
      <c r="D780" s="7" t="str">
        <f>VLOOKUP(C780,'ACTIVOS CODIGO'!H:I,2,0)</f>
        <v>PASIVO DEL TESORO = PASIVO CORRIENTE</v>
      </c>
      <c r="E780" s="3"/>
      <c r="F780" s="8"/>
      <c r="G780" s="10">
        <v>133</v>
      </c>
      <c r="H780" s="10" t="str">
        <f>VLOOKUP(G780,'PUB 21'!$A$1:$B$29,2,0)</f>
        <v>DEPOSITOS DE TERCEROS</v>
      </c>
      <c r="I780"/>
      <c r="J780" s="4"/>
      <c r="K780">
        <v>15</v>
      </c>
      <c r="L780" s="4" t="s">
        <v>547</v>
      </c>
      <c r="M780" s="27" t="str">
        <f t="shared" si="141"/>
        <v>2-1-0-13-30-15</v>
      </c>
      <c r="N780" s="27" t="str">
        <f t="shared" si="142"/>
        <v>OTROS DESCUENTOS</v>
      </c>
      <c r="O780" s="4">
        <f t="shared" si="139"/>
        <v>161</v>
      </c>
      <c r="P780" s="4" t="s">
        <v>756</v>
      </c>
      <c r="Q780" s="4" t="str">
        <f t="shared" si="138"/>
        <v>2-1-0-13-30-15-161</v>
      </c>
      <c r="R780" s="4" t="str">
        <f t="shared" si="140"/>
        <v>FONDO NAVIDEÑO JUBILADOS</v>
      </c>
    </row>
    <row r="781" spans="1:18" x14ac:dyDescent="0.2">
      <c r="A781" s="1">
        <v>2</v>
      </c>
      <c r="B781" s="6" t="str">
        <f>VLOOKUP(A781,'ACTIVOS CODIGO'!A:B,2,0)</f>
        <v>PASIVO</v>
      </c>
      <c r="C781" s="2">
        <v>1</v>
      </c>
      <c r="D781" s="7" t="str">
        <f>VLOOKUP(C781,'ACTIVOS CODIGO'!H:I,2,0)</f>
        <v>PASIVO DEL TESORO = PASIVO CORRIENTE</v>
      </c>
      <c r="E781" s="3"/>
      <c r="F781" s="8"/>
      <c r="G781" s="10">
        <v>133</v>
      </c>
      <c r="H781" s="10" t="str">
        <f>VLOOKUP(G781,'PUB 21'!$A$1:$B$29,2,0)</f>
        <v>DEPOSITOS DE TERCEROS</v>
      </c>
      <c r="I781"/>
      <c r="J781" s="4"/>
      <c r="K781">
        <v>15</v>
      </c>
      <c r="L781" s="4" t="s">
        <v>547</v>
      </c>
      <c r="M781" s="27" t="str">
        <f t="shared" si="141"/>
        <v>2-1-0-13-30-15</v>
      </c>
      <c r="N781" s="27" t="str">
        <f t="shared" si="142"/>
        <v>OTROS DESCUENTOS</v>
      </c>
      <c r="O781" s="4">
        <f t="shared" si="139"/>
        <v>162</v>
      </c>
      <c r="P781" s="4" t="s">
        <v>757</v>
      </c>
      <c r="Q781" s="4" t="str">
        <f t="shared" si="138"/>
        <v>2-1-0-13-30-15-162</v>
      </c>
      <c r="R781" s="4" t="str">
        <f t="shared" si="140"/>
        <v>AJUPENPOL APORTE TRABAJADOR JUBILADOS</v>
      </c>
    </row>
    <row r="782" spans="1:18" x14ac:dyDescent="0.2">
      <c r="A782" s="1">
        <v>2</v>
      </c>
      <c r="B782" s="6" t="str">
        <f>VLOOKUP(A782,'ACTIVOS CODIGO'!A:B,2,0)</f>
        <v>PASIVO</v>
      </c>
      <c r="C782" s="2">
        <v>1</v>
      </c>
      <c r="D782" s="7" t="str">
        <f>VLOOKUP(C782,'ACTIVOS CODIGO'!H:I,2,0)</f>
        <v>PASIVO DEL TESORO = PASIVO CORRIENTE</v>
      </c>
      <c r="E782" s="3"/>
      <c r="F782" s="8"/>
      <c r="G782" s="10">
        <v>133</v>
      </c>
      <c r="H782" s="10" t="str">
        <f>VLOOKUP(G782,'PUB 21'!$A$1:$B$29,2,0)</f>
        <v>DEPOSITOS DE TERCEROS</v>
      </c>
      <c r="I782"/>
      <c r="J782" s="4"/>
      <c r="K782">
        <v>15</v>
      </c>
      <c r="L782" s="4" t="s">
        <v>547</v>
      </c>
      <c r="M782" s="27" t="str">
        <f t="shared" si="141"/>
        <v>2-1-0-13-30-15</v>
      </c>
      <c r="N782" s="27" t="str">
        <f t="shared" si="142"/>
        <v>OTROS DESCUENTOS</v>
      </c>
      <c r="O782" s="4">
        <f t="shared" si="139"/>
        <v>163</v>
      </c>
      <c r="P782" s="4" t="s">
        <v>758</v>
      </c>
      <c r="Q782" s="4" t="str">
        <f t="shared" si="138"/>
        <v>2-1-0-13-30-15-163</v>
      </c>
      <c r="R782" s="4" t="str">
        <f t="shared" si="140"/>
        <v>DESCUENTO AUJPMLDC JUBILADOS</v>
      </c>
    </row>
    <row r="783" spans="1:18" x14ac:dyDescent="0.2">
      <c r="A783" s="1">
        <v>2</v>
      </c>
      <c r="B783" s="6" t="str">
        <f>VLOOKUP(A783,'ACTIVOS CODIGO'!A:B,2,0)</f>
        <v>PASIVO</v>
      </c>
      <c r="C783" s="2">
        <v>1</v>
      </c>
      <c r="D783" s="7" t="str">
        <f>VLOOKUP(C783,'ACTIVOS CODIGO'!H:I,2,0)</f>
        <v>PASIVO DEL TESORO = PASIVO CORRIENTE</v>
      </c>
      <c r="E783" s="3"/>
      <c r="F783" s="8"/>
      <c r="G783" s="10">
        <v>133</v>
      </c>
      <c r="H783" s="10" t="str">
        <f>VLOOKUP(G783,'PUB 21'!$A$1:$B$29,2,0)</f>
        <v>DEPOSITOS DE TERCEROS</v>
      </c>
      <c r="I783"/>
      <c r="J783" s="4"/>
      <c r="K783">
        <v>15</v>
      </c>
      <c r="L783" s="4" t="s">
        <v>547</v>
      </c>
      <c r="M783" s="27" t="str">
        <f t="shared" si="141"/>
        <v>2-1-0-13-30-15</v>
      </c>
      <c r="N783" s="27" t="str">
        <f t="shared" si="142"/>
        <v>OTROS DESCUENTOS</v>
      </c>
      <c r="O783" s="4">
        <f t="shared" si="139"/>
        <v>164</v>
      </c>
      <c r="P783" s="4" t="s">
        <v>759</v>
      </c>
      <c r="Q783" s="4" t="str">
        <f t="shared" si="138"/>
        <v>2-1-0-13-30-15-164</v>
      </c>
      <c r="R783" s="4" t="str">
        <f t="shared" si="140"/>
        <v>ASISTENCIA JUBILDOS JUBILADOS</v>
      </c>
    </row>
    <row r="784" spans="1:18" x14ac:dyDescent="0.2">
      <c r="A784" s="1">
        <v>2</v>
      </c>
      <c r="B784" s="6" t="str">
        <f>VLOOKUP(A784,'ACTIVOS CODIGO'!A:B,2,0)</f>
        <v>PASIVO</v>
      </c>
      <c r="C784" s="2">
        <v>1</v>
      </c>
      <c r="D784" s="7" t="str">
        <f>VLOOKUP(C784,'ACTIVOS CODIGO'!H:I,2,0)</f>
        <v>PASIVO DEL TESORO = PASIVO CORRIENTE</v>
      </c>
      <c r="E784" s="3"/>
      <c r="F784" s="8"/>
      <c r="G784" s="10">
        <v>133</v>
      </c>
      <c r="H784" s="10" t="str">
        <f>VLOOKUP(G784,'PUB 21'!$A$1:$B$29,2,0)</f>
        <v>DEPOSITOS DE TERCEROS</v>
      </c>
      <c r="I784"/>
      <c r="J784" s="4"/>
      <c r="K784">
        <v>15</v>
      </c>
      <c r="L784" s="4" t="s">
        <v>547</v>
      </c>
      <c r="M784" s="27" t="str">
        <f t="shared" si="141"/>
        <v>2-1-0-13-30-15</v>
      </c>
      <c r="N784" s="27" t="str">
        <f t="shared" si="142"/>
        <v>OTROS DESCUENTOS</v>
      </c>
      <c r="O784" s="4">
        <f t="shared" si="139"/>
        <v>165</v>
      </c>
      <c r="P784" s="4" t="s">
        <v>760</v>
      </c>
      <c r="Q784" s="4" t="str">
        <f t="shared" si="138"/>
        <v>2-1-0-13-30-15-165</v>
      </c>
      <c r="R784" s="4" t="str">
        <f t="shared" si="140"/>
        <v>PREST. LARGO PLAZO B EMPLEADOS</v>
      </c>
    </row>
    <row r="785" spans="1:18" x14ac:dyDescent="0.2">
      <c r="A785" s="1">
        <v>2</v>
      </c>
      <c r="B785" s="6" t="str">
        <f>VLOOKUP(A785,'ACTIVOS CODIGO'!A:B,2,0)</f>
        <v>PASIVO</v>
      </c>
      <c r="C785" s="2">
        <v>1</v>
      </c>
      <c r="D785" s="7" t="str">
        <f>VLOOKUP(C785,'ACTIVOS CODIGO'!H:I,2,0)</f>
        <v>PASIVO DEL TESORO = PASIVO CORRIENTE</v>
      </c>
      <c r="E785" s="3"/>
      <c r="F785" s="8"/>
      <c r="G785" s="10">
        <v>133</v>
      </c>
      <c r="H785" s="10" t="str">
        <f>VLOOKUP(G785,'PUB 21'!$A$1:$B$29,2,0)</f>
        <v>DEPOSITOS DE TERCEROS</v>
      </c>
      <c r="I785"/>
      <c r="J785" s="4"/>
      <c r="K785">
        <v>15</v>
      </c>
      <c r="L785" s="4" t="s">
        <v>547</v>
      </c>
      <c r="M785" s="27" t="str">
        <f t="shared" si="141"/>
        <v>2-1-0-13-30-15</v>
      </c>
      <c r="N785" s="27" t="str">
        <f t="shared" si="142"/>
        <v>OTROS DESCUENTOS</v>
      </c>
      <c r="O785" s="4">
        <f t="shared" si="139"/>
        <v>166</v>
      </c>
      <c r="P785" s="4" t="s">
        <v>761</v>
      </c>
      <c r="Q785" s="4" t="str">
        <f t="shared" si="138"/>
        <v>2-1-0-13-30-15-166</v>
      </c>
      <c r="R785" s="4" t="str">
        <f t="shared" si="140"/>
        <v>PRESTAMO TARJETA CREDITO EMPLEADOS</v>
      </c>
    </row>
    <row r="786" spans="1:18" x14ac:dyDescent="0.2">
      <c r="A786" s="1">
        <v>2</v>
      </c>
      <c r="B786" s="6" t="str">
        <f>VLOOKUP(A786,'ACTIVOS CODIGO'!A:B,2,0)</f>
        <v>PASIVO</v>
      </c>
      <c r="C786" s="2">
        <v>1</v>
      </c>
      <c r="D786" s="7" t="str">
        <f>VLOOKUP(C786,'ACTIVOS CODIGO'!H:I,2,0)</f>
        <v>PASIVO DEL TESORO = PASIVO CORRIENTE</v>
      </c>
      <c r="E786" s="3"/>
      <c r="F786" s="8"/>
      <c r="G786" s="10">
        <v>133</v>
      </c>
      <c r="H786" s="10" t="str">
        <f>VLOOKUP(G786,'PUB 21'!$A$1:$B$29,2,0)</f>
        <v>DEPOSITOS DE TERCEROS</v>
      </c>
      <c r="I786"/>
      <c r="J786" s="4"/>
      <c r="K786">
        <v>15</v>
      </c>
      <c r="L786" s="4" t="s">
        <v>547</v>
      </c>
      <c r="M786" s="27" t="str">
        <f t="shared" si="141"/>
        <v>2-1-0-13-30-15</v>
      </c>
      <c r="N786" s="27" t="str">
        <f t="shared" si="142"/>
        <v>OTROS DESCUENTOS</v>
      </c>
      <c r="O786" s="4">
        <f t="shared" si="139"/>
        <v>167</v>
      </c>
      <c r="P786" s="4" t="s">
        <v>762</v>
      </c>
      <c r="Q786" s="4" t="str">
        <f t="shared" ref="Q786:Q849" si="143">CONCATENATE(TEXT(A786,"0"),"-",TEXT(C786,"0"),"-",TEXT(E786,"0"),"-",TEXT(LEFT(G786,2),"00"),"-",TEXT(RIGHT(G786,1),"0"),TEXT(I786,"0"),"-",TEXT(K786,"00"),"-",TEXT(O786,"000"))</f>
        <v>2-1-0-13-30-15-167</v>
      </c>
      <c r="R786" s="4" t="str">
        <f t="shared" si="140"/>
        <v>PRESTAMO ESPECIAL CAJA DE EMPLEADOS</v>
      </c>
    </row>
    <row r="787" spans="1:18" x14ac:dyDescent="0.2">
      <c r="A787" s="1">
        <v>2</v>
      </c>
      <c r="B787" s="6" t="str">
        <f>VLOOKUP(A787,'ACTIVOS CODIGO'!A:B,2,0)</f>
        <v>PASIVO</v>
      </c>
      <c r="C787" s="2">
        <v>1</v>
      </c>
      <c r="D787" s="7" t="str">
        <f>VLOOKUP(C787,'ACTIVOS CODIGO'!H:I,2,0)</f>
        <v>PASIVO DEL TESORO = PASIVO CORRIENTE</v>
      </c>
      <c r="E787" s="3"/>
      <c r="F787" s="8"/>
      <c r="G787" s="10">
        <v>133</v>
      </c>
      <c r="H787" s="10" t="str">
        <f>VLOOKUP(G787,'PUB 21'!$A$1:$B$29,2,0)</f>
        <v>DEPOSITOS DE TERCEROS</v>
      </c>
      <c r="I787"/>
      <c r="J787" s="4"/>
      <c r="K787">
        <v>15</v>
      </c>
      <c r="L787" s="4" t="s">
        <v>547</v>
      </c>
      <c r="M787" s="27" t="str">
        <f t="shared" si="141"/>
        <v>2-1-0-13-30-15</v>
      </c>
      <c r="N787" s="27" t="str">
        <f t="shared" si="142"/>
        <v>OTROS DESCUENTOS</v>
      </c>
      <c r="O787" s="4">
        <f t="shared" si="139"/>
        <v>168</v>
      </c>
      <c r="P787" s="4" t="s">
        <v>763</v>
      </c>
      <c r="Q787" s="4" t="str">
        <f t="shared" si="143"/>
        <v>2-1-0-13-30-15-168</v>
      </c>
      <c r="R787" s="4" t="str">
        <f t="shared" si="140"/>
        <v>PRESTAMO PROVEEDURIA EMPLEADOS</v>
      </c>
    </row>
    <row r="788" spans="1:18" x14ac:dyDescent="0.2">
      <c r="A788" s="1">
        <v>2</v>
      </c>
      <c r="B788" s="6" t="str">
        <f>VLOOKUP(A788,'ACTIVOS CODIGO'!A:B,2,0)</f>
        <v>PASIVO</v>
      </c>
      <c r="C788" s="2">
        <v>1</v>
      </c>
      <c r="D788" s="7" t="str">
        <f>VLOOKUP(C788,'ACTIVOS CODIGO'!H:I,2,0)</f>
        <v>PASIVO DEL TESORO = PASIVO CORRIENTE</v>
      </c>
      <c r="E788" s="3"/>
      <c r="F788" s="8"/>
      <c r="G788" s="10">
        <v>133</v>
      </c>
      <c r="H788" s="10" t="str">
        <f>VLOOKUP(G788,'PUB 21'!$A$1:$B$29,2,0)</f>
        <v>DEPOSITOS DE TERCEROS</v>
      </c>
      <c r="I788"/>
      <c r="J788" s="4"/>
      <c r="K788">
        <v>15</v>
      </c>
      <c r="L788" s="4" t="s">
        <v>547</v>
      </c>
      <c r="M788" s="27" t="str">
        <f t="shared" si="141"/>
        <v>2-1-0-13-30-15</v>
      </c>
      <c r="N788" s="27" t="str">
        <f t="shared" si="142"/>
        <v>OTROS DESCUENTOS</v>
      </c>
      <c r="O788" s="4">
        <f t="shared" si="139"/>
        <v>169</v>
      </c>
      <c r="P788" s="4" t="s">
        <v>764</v>
      </c>
      <c r="Q788" s="4" t="str">
        <f t="shared" si="143"/>
        <v>2-1-0-13-30-15-169</v>
      </c>
      <c r="R788" s="4" t="str">
        <f t="shared" si="140"/>
        <v>PRESTAMO ADQUISICION DE N. EMPLEADOS</v>
      </c>
    </row>
    <row r="789" spans="1:18" x14ac:dyDescent="0.2">
      <c r="A789" s="1">
        <v>2</v>
      </c>
      <c r="B789" s="6" t="str">
        <f>VLOOKUP(A789,'ACTIVOS CODIGO'!A:B,2,0)</f>
        <v>PASIVO</v>
      </c>
      <c r="C789" s="2">
        <v>1</v>
      </c>
      <c r="D789" s="7" t="str">
        <f>VLOOKUP(C789,'ACTIVOS CODIGO'!H:I,2,0)</f>
        <v>PASIVO DEL TESORO = PASIVO CORRIENTE</v>
      </c>
      <c r="E789" s="3"/>
      <c r="F789" s="8"/>
      <c r="G789" s="10">
        <v>133</v>
      </c>
      <c r="H789" s="10" t="str">
        <f>VLOOKUP(G789,'PUB 21'!$A$1:$B$29,2,0)</f>
        <v>DEPOSITOS DE TERCEROS</v>
      </c>
      <c r="I789"/>
      <c r="J789" s="4"/>
      <c r="K789">
        <v>15</v>
      </c>
      <c r="L789" s="4" t="s">
        <v>547</v>
      </c>
      <c r="M789" s="27" t="str">
        <f t="shared" si="141"/>
        <v>2-1-0-13-30-15</v>
      </c>
      <c r="N789" s="27" t="str">
        <f t="shared" si="142"/>
        <v>OTROS DESCUENTOS</v>
      </c>
      <c r="O789" s="4">
        <f t="shared" si="139"/>
        <v>170</v>
      </c>
      <c r="P789" s="4" t="s">
        <v>765</v>
      </c>
      <c r="Q789" s="4" t="str">
        <f t="shared" si="143"/>
        <v>2-1-0-13-30-15-170</v>
      </c>
      <c r="R789" s="4" t="str">
        <f t="shared" si="140"/>
        <v>.DESC. INTERESES SOBRE PREST. EMPLEADOS</v>
      </c>
    </row>
    <row r="790" spans="1:18" x14ac:dyDescent="0.2">
      <c r="A790" s="1">
        <v>2</v>
      </c>
      <c r="B790" s="6" t="str">
        <f>VLOOKUP(A790,'ACTIVOS CODIGO'!A:B,2,0)</f>
        <v>PASIVO</v>
      </c>
      <c r="C790" s="2">
        <v>1</v>
      </c>
      <c r="D790" s="7" t="str">
        <f>VLOOKUP(C790,'ACTIVOS CODIGO'!H:I,2,0)</f>
        <v>PASIVO DEL TESORO = PASIVO CORRIENTE</v>
      </c>
      <c r="E790" s="3"/>
      <c r="F790" s="8"/>
      <c r="G790" s="10">
        <v>133</v>
      </c>
      <c r="H790" s="10" t="str">
        <f>VLOOKUP(G790,'PUB 21'!$A$1:$B$29,2,0)</f>
        <v>DEPOSITOS DE TERCEROS</v>
      </c>
      <c r="I790"/>
      <c r="J790" s="4"/>
      <c r="K790">
        <v>15</v>
      </c>
      <c r="L790" s="4" t="s">
        <v>547</v>
      </c>
      <c r="M790" s="27" t="str">
        <f t="shared" si="141"/>
        <v>2-1-0-13-30-15</v>
      </c>
      <c r="N790" s="27" t="str">
        <f t="shared" si="142"/>
        <v>OTROS DESCUENTOS</v>
      </c>
      <c r="O790" s="4">
        <f t="shared" si="139"/>
        <v>171</v>
      </c>
      <c r="P790" s="4" t="s">
        <v>766</v>
      </c>
      <c r="Q790" s="4" t="str">
        <f t="shared" si="143"/>
        <v>2-1-0-13-30-15-171</v>
      </c>
      <c r="R790" s="4" t="str">
        <f t="shared" si="140"/>
        <v>REINT. PAGO INDEB. DIF. SUELDO ENCARG. EMPLEADOS</v>
      </c>
    </row>
    <row r="791" spans="1:18" x14ac:dyDescent="0.2">
      <c r="A791" s="1">
        <v>2</v>
      </c>
      <c r="B791" s="6" t="str">
        <f>VLOOKUP(A791,'ACTIVOS CODIGO'!A:B,2,0)</f>
        <v>PASIVO</v>
      </c>
      <c r="C791" s="2">
        <v>1</v>
      </c>
      <c r="D791" s="7" t="str">
        <f>VLOOKUP(C791,'ACTIVOS CODIGO'!H:I,2,0)</f>
        <v>PASIVO DEL TESORO = PASIVO CORRIENTE</v>
      </c>
      <c r="E791" s="3"/>
      <c r="F791" s="8"/>
      <c r="G791" s="10">
        <v>133</v>
      </c>
      <c r="H791" s="10" t="str">
        <f>VLOOKUP(G791,'PUB 21'!$A$1:$B$29,2,0)</f>
        <v>DEPOSITOS DE TERCEROS</v>
      </c>
      <c r="I791"/>
      <c r="J791" s="4"/>
      <c r="K791">
        <v>15</v>
      </c>
      <c r="L791" s="4" t="s">
        <v>547</v>
      </c>
      <c r="M791" s="27" t="str">
        <f t="shared" si="141"/>
        <v>2-1-0-13-30-15</v>
      </c>
      <c r="N791" s="27" t="str">
        <f t="shared" si="142"/>
        <v>OTROS DESCUENTOS</v>
      </c>
      <c r="O791" s="4">
        <f t="shared" si="139"/>
        <v>172</v>
      </c>
      <c r="P791" s="4" t="s">
        <v>767</v>
      </c>
      <c r="Q791" s="4" t="str">
        <f t="shared" si="143"/>
        <v>2-1-0-13-30-15-172</v>
      </c>
      <c r="R791" s="4" t="str">
        <f t="shared" si="140"/>
        <v>REINT. COBRO INDEB. PRIMA ANT. EMPLEADOS</v>
      </c>
    </row>
    <row r="792" spans="1:18" x14ac:dyDescent="0.2">
      <c r="A792" s="1">
        <v>2</v>
      </c>
      <c r="B792" s="6" t="str">
        <f>VLOOKUP(A792,'ACTIVOS CODIGO'!A:B,2,0)</f>
        <v>PASIVO</v>
      </c>
      <c r="C792" s="2">
        <v>1</v>
      </c>
      <c r="D792" s="7" t="str">
        <f>VLOOKUP(C792,'ACTIVOS CODIGO'!H:I,2,0)</f>
        <v>PASIVO DEL TESORO = PASIVO CORRIENTE</v>
      </c>
      <c r="E792" s="3"/>
      <c r="F792" s="8"/>
      <c r="G792" s="10">
        <v>133</v>
      </c>
      <c r="H792" s="10" t="str">
        <f>VLOOKUP(G792,'PUB 21'!$A$1:$B$29,2,0)</f>
        <v>DEPOSITOS DE TERCEROS</v>
      </c>
      <c r="I792"/>
      <c r="J792" s="4"/>
      <c r="K792">
        <v>15</v>
      </c>
      <c r="L792" s="4" t="s">
        <v>547</v>
      </c>
      <c r="M792" s="27" t="str">
        <f t="shared" si="141"/>
        <v>2-1-0-13-30-15</v>
      </c>
      <c r="N792" s="27" t="str">
        <f t="shared" si="142"/>
        <v>OTROS DESCUENTOS</v>
      </c>
      <c r="O792" s="4">
        <f t="shared" si="139"/>
        <v>173</v>
      </c>
      <c r="P792" s="4" t="s">
        <v>768</v>
      </c>
      <c r="Q792" s="4" t="str">
        <f t="shared" si="143"/>
        <v>2-1-0-13-30-15-173</v>
      </c>
      <c r="R792" s="4" t="str">
        <f t="shared" si="140"/>
        <v>DESCUENTOS DE PRODUCTOS DESCUENTOS DE PRODUCTOS 22</v>
      </c>
    </row>
    <row r="793" spans="1:18" x14ac:dyDescent="0.2">
      <c r="A793" s="1">
        <v>2</v>
      </c>
      <c r="B793" s="6" t="str">
        <f>VLOOKUP(A793,'ACTIVOS CODIGO'!A:B,2,0)</f>
        <v>PASIVO</v>
      </c>
      <c r="C793" s="2">
        <v>1</v>
      </c>
      <c r="D793" s="7" t="str">
        <f>VLOOKUP(C793,'ACTIVOS CODIGO'!H:I,2,0)</f>
        <v>PASIVO DEL TESORO = PASIVO CORRIENTE</v>
      </c>
      <c r="E793" s="3"/>
      <c r="F793" s="8"/>
      <c r="G793" s="10">
        <v>133</v>
      </c>
      <c r="H793" s="10" t="str">
        <f>VLOOKUP(G793,'PUB 21'!$A$1:$B$29,2,0)</f>
        <v>DEPOSITOS DE TERCEROS</v>
      </c>
      <c r="I793"/>
      <c r="J793" s="4"/>
      <c r="K793">
        <v>15</v>
      </c>
      <c r="L793" s="4" t="s">
        <v>547</v>
      </c>
      <c r="M793" s="27" t="str">
        <f t="shared" si="141"/>
        <v>2-1-0-13-30-15</v>
      </c>
      <c r="N793" s="27" t="str">
        <f t="shared" si="142"/>
        <v>OTROS DESCUENTOS</v>
      </c>
      <c r="O793" s="4">
        <f t="shared" si="139"/>
        <v>174</v>
      </c>
      <c r="P793" s="4" t="s">
        <v>515</v>
      </c>
      <c r="Q793" s="4" t="str">
        <f t="shared" si="143"/>
        <v>2-1-0-13-30-15-174</v>
      </c>
      <c r="R793" s="4" t="str">
        <f t="shared" si="140"/>
        <v>GASTOS BANCARIOS</v>
      </c>
    </row>
    <row r="794" spans="1:18" x14ac:dyDescent="0.2">
      <c r="A794" s="1">
        <v>2</v>
      </c>
      <c r="B794" s="6" t="str">
        <f>VLOOKUP(A794,'ACTIVOS CODIGO'!A:B,2,0)</f>
        <v>PASIVO</v>
      </c>
      <c r="C794" s="2">
        <v>1</v>
      </c>
      <c r="D794" s="7" t="str">
        <f>VLOOKUP(C794,'ACTIVOS CODIGO'!H:I,2,0)</f>
        <v>PASIVO DEL TESORO = PASIVO CORRIENTE</v>
      </c>
      <c r="E794" s="3"/>
      <c r="F794" s="8"/>
      <c r="G794" s="10">
        <v>133</v>
      </c>
      <c r="H794" s="10" t="str">
        <f>VLOOKUP(G794,'PUB 21'!$A$1:$B$29,2,0)</f>
        <v>DEPOSITOS DE TERCEROS</v>
      </c>
      <c r="I794"/>
      <c r="J794" s="4"/>
      <c r="K794">
        <v>15</v>
      </c>
      <c r="L794" s="4" t="s">
        <v>547</v>
      </c>
      <c r="M794" s="27" t="str">
        <f t="shared" ref="M794:M852" si="144">CONCATENATE(TEXT(A794,"0"),"-",TEXT(C794,"0"),"-",TEXT(E794,"0"),"-",TEXT(LEFT(G794,2),"00"),"-",TEXT(RIGHT(G794,1),"0"),TEXT(I794,"0"),"-",TEXT(K794,"00"))</f>
        <v>2-1-0-13-30-15</v>
      </c>
      <c r="N794" s="27" t="str">
        <f t="shared" ref="N794:N852" si="145">IF(L794="",IF(J794="",IF(H794="",IF(F794="",IF(D794="",B794,D794),F794),H794),J794),L794)</f>
        <v>OTROS DESCUENTOS</v>
      </c>
      <c r="O794" s="4">
        <f t="shared" si="139"/>
        <v>175</v>
      </c>
      <c r="P794" s="4" t="s">
        <v>791</v>
      </c>
      <c r="Q794" s="4" t="str">
        <f t="shared" si="143"/>
        <v>2-1-0-13-30-15-175</v>
      </c>
      <c r="R794" s="4" t="str">
        <f t="shared" si="140"/>
        <v>DEPOSITO DE TERCEROS CONTRATADOS</v>
      </c>
    </row>
    <row r="795" spans="1:18" x14ac:dyDescent="0.2">
      <c r="A795" s="1">
        <v>2</v>
      </c>
      <c r="B795" s="6" t="str">
        <f>VLOOKUP(A795,'ACTIVOS CODIGO'!A:B,2,0)</f>
        <v>PASIVO</v>
      </c>
      <c r="C795" s="2">
        <v>1</v>
      </c>
      <c r="D795" s="7" t="str">
        <f>VLOOKUP(C795,'ACTIVOS CODIGO'!H:I,2,0)</f>
        <v>PASIVO DEL TESORO = PASIVO CORRIENTE</v>
      </c>
      <c r="E795" s="3"/>
      <c r="F795" s="8"/>
      <c r="G795" s="10">
        <v>133</v>
      </c>
      <c r="H795" s="10" t="str">
        <f>VLOOKUP(G795,'PUB 21'!$A$1:$B$29,2,0)</f>
        <v>DEPOSITOS DE TERCEROS</v>
      </c>
      <c r="I795"/>
      <c r="J795" s="4"/>
      <c r="K795">
        <v>15</v>
      </c>
      <c r="L795" s="4" t="s">
        <v>547</v>
      </c>
      <c r="M795" s="27" t="str">
        <f t="shared" si="144"/>
        <v>2-1-0-13-30-15</v>
      </c>
      <c r="N795" s="27" t="str">
        <f t="shared" si="145"/>
        <v>OTROS DESCUENTOS</v>
      </c>
      <c r="O795" s="4">
        <f t="shared" si="139"/>
        <v>176</v>
      </c>
      <c r="P795" s="4" t="s">
        <v>792</v>
      </c>
      <c r="Q795" s="4" t="str">
        <f t="shared" si="143"/>
        <v>2-1-0-13-30-15-176</v>
      </c>
      <c r="R795" s="4" t="str">
        <f t="shared" si="140"/>
        <v>REINT. COBRO INDEB. 30% COMP.</v>
      </c>
    </row>
    <row r="796" spans="1:18" x14ac:dyDescent="0.2">
      <c r="A796" s="1">
        <v>2</v>
      </c>
      <c r="B796" s="6" t="str">
        <f>VLOOKUP(A796,'ACTIVOS CODIGO'!A:B,2,0)</f>
        <v>PASIVO</v>
      </c>
      <c r="C796" s="2">
        <v>1</v>
      </c>
      <c r="D796" s="7" t="str">
        <f>VLOOKUP(C796,'ACTIVOS CODIGO'!H:I,2,0)</f>
        <v>PASIVO DEL TESORO = PASIVO CORRIENTE</v>
      </c>
      <c r="E796" s="3"/>
      <c r="F796" s="8"/>
      <c r="G796" s="10">
        <v>133</v>
      </c>
      <c r="H796" s="10" t="str">
        <f>VLOOKUP(G796,'PUB 21'!$A$1:$B$29,2,0)</f>
        <v>DEPOSITOS DE TERCEROS</v>
      </c>
      <c r="I796"/>
      <c r="J796" s="4"/>
      <c r="K796">
        <v>15</v>
      </c>
      <c r="L796" s="4" t="s">
        <v>547</v>
      </c>
      <c r="M796" s="27" t="str">
        <f t="shared" si="144"/>
        <v>2-1-0-13-30-15</v>
      </c>
      <c r="N796" s="27" t="str">
        <f t="shared" si="145"/>
        <v>OTROS DESCUENTOS</v>
      </c>
      <c r="O796" s="4">
        <f t="shared" si="139"/>
        <v>177</v>
      </c>
      <c r="P796" s="4" t="s">
        <v>793</v>
      </c>
      <c r="Q796" s="4" t="str">
        <f t="shared" si="143"/>
        <v>2-1-0-13-30-15-177</v>
      </c>
      <c r="R796" s="4" t="str">
        <f t="shared" si="140"/>
        <v>DCTO. DIA DE REP. EXTEMP. CONTRAT.</v>
      </c>
    </row>
    <row r="797" spans="1:18" x14ac:dyDescent="0.2">
      <c r="A797" s="1">
        <v>2</v>
      </c>
      <c r="B797" s="6" t="str">
        <f>VLOOKUP(A797,'ACTIVOS CODIGO'!A:B,2,0)</f>
        <v>PASIVO</v>
      </c>
      <c r="C797" s="2">
        <v>1</v>
      </c>
      <c r="D797" s="7" t="str">
        <f>VLOOKUP(C797,'ACTIVOS CODIGO'!H:I,2,0)</f>
        <v>PASIVO DEL TESORO = PASIVO CORRIENTE</v>
      </c>
      <c r="E797" s="3"/>
      <c r="F797" s="8"/>
      <c r="G797" s="10">
        <v>133</v>
      </c>
      <c r="H797" s="10" t="str">
        <f>VLOOKUP(G797,'PUB 21'!$A$1:$B$29,2,0)</f>
        <v>DEPOSITOS DE TERCEROS</v>
      </c>
      <c r="I797"/>
      <c r="J797" s="4"/>
      <c r="K797">
        <v>15</v>
      </c>
      <c r="L797" s="4" t="s">
        <v>547</v>
      </c>
      <c r="M797" s="27" t="str">
        <f t="shared" si="144"/>
        <v>2-1-0-13-30-15</v>
      </c>
      <c r="N797" s="27" t="str">
        <f t="shared" si="145"/>
        <v>OTROS DESCUENTOS</v>
      </c>
      <c r="O797" s="4">
        <f t="shared" si="139"/>
        <v>178</v>
      </c>
      <c r="P797" s="4" t="s">
        <v>794</v>
      </c>
      <c r="Q797" s="4" t="str">
        <f t="shared" si="143"/>
        <v>2-1-0-13-30-15-178</v>
      </c>
      <c r="R797" s="4" t="str">
        <f t="shared" si="140"/>
        <v>INASISTENCIA INJUSTIFICADA</v>
      </c>
    </row>
    <row r="798" spans="1:18" x14ac:dyDescent="0.2">
      <c r="A798" s="1">
        <v>2</v>
      </c>
      <c r="B798" s="6" t="str">
        <f>VLOOKUP(A798,'ACTIVOS CODIGO'!A:B,2,0)</f>
        <v>PASIVO</v>
      </c>
      <c r="C798" s="2">
        <v>1</v>
      </c>
      <c r="D798" s="7" t="str">
        <f>VLOOKUP(C798,'ACTIVOS CODIGO'!H:I,2,0)</f>
        <v>PASIVO DEL TESORO = PASIVO CORRIENTE</v>
      </c>
      <c r="E798" s="3"/>
      <c r="F798" s="8"/>
      <c r="G798" s="10">
        <v>133</v>
      </c>
      <c r="H798" s="10" t="str">
        <f>VLOOKUP(G798,'PUB 21'!$A$1:$B$29,2,0)</f>
        <v>DEPOSITOS DE TERCEROS</v>
      </c>
      <c r="I798"/>
      <c r="J798" s="4"/>
      <c r="K798">
        <v>15</v>
      </c>
      <c r="L798" s="4" t="s">
        <v>547</v>
      </c>
      <c r="M798" s="27" t="str">
        <f t="shared" si="144"/>
        <v>2-1-0-13-30-15</v>
      </c>
      <c r="N798" s="27" t="str">
        <f t="shared" si="145"/>
        <v>OTROS DESCUENTOS</v>
      </c>
      <c r="O798" s="4">
        <f t="shared" si="139"/>
        <v>179</v>
      </c>
      <c r="P798" s="4" t="s">
        <v>795</v>
      </c>
      <c r="Q798" s="4" t="str">
        <f t="shared" si="143"/>
        <v>2-1-0-13-30-15-179</v>
      </c>
      <c r="R798" s="4" t="str">
        <f t="shared" si="140"/>
        <v>REINT. AUMENTO 15% SAL. MIN.</v>
      </c>
    </row>
    <row r="799" spans="1:18" x14ac:dyDescent="0.2">
      <c r="A799" s="1">
        <v>2</v>
      </c>
      <c r="B799" s="6" t="str">
        <f>VLOOKUP(A799,'ACTIVOS CODIGO'!A:B,2,0)</f>
        <v>PASIVO</v>
      </c>
      <c r="C799" s="2">
        <v>1</v>
      </c>
      <c r="D799" s="7" t="str">
        <f>VLOOKUP(C799,'ACTIVOS CODIGO'!H:I,2,0)</f>
        <v>PASIVO DEL TESORO = PASIVO CORRIENTE</v>
      </c>
      <c r="E799" s="3"/>
      <c r="F799" s="8"/>
      <c r="G799" s="10">
        <v>133</v>
      </c>
      <c r="H799" s="10" t="str">
        <f>VLOOKUP(G799,'PUB 21'!$A$1:$B$29,2,0)</f>
        <v>DEPOSITOS DE TERCEROS</v>
      </c>
      <c r="I799"/>
      <c r="J799" s="4"/>
      <c r="K799">
        <v>15</v>
      </c>
      <c r="L799" s="4" t="s">
        <v>547</v>
      </c>
      <c r="M799" s="27" t="str">
        <f t="shared" si="144"/>
        <v>2-1-0-13-30-15</v>
      </c>
      <c r="N799" s="27" t="str">
        <f t="shared" si="145"/>
        <v>OTROS DESCUENTOS</v>
      </c>
      <c r="O799" s="4">
        <f t="shared" si="139"/>
        <v>180</v>
      </c>
      <c r="P799" s="4" t="s">
        <v>796</v>
      </c>
      <c r="Q799" s="4" t="str">
        <f t="shared" si="143"/>
        <v>2-1-0-13-30-15-180</v>
      </c>
      <c r="R799" s="4" t="str">
        <f t="shared" si="140"/>
        <v>REINT. AUM. SUELDO 15% 2012</v>
      </c>
    </row>
    <row r="800" spans="1:18" x14ac:dyDescent="0.2">
      <c r="A800" s="1">
        <v>2</v>
      </c>
      <c r="B800" s="6" t="str">
        <f>VLOOKUP(A800,'ACTIVOS CODIGO'!A:B,2,0)</f>
        <v>PASIVO</v>
      </c>
      <c r="C800" s="2">
        <v>1</v>
      </c>
      <c r="D800" s="7" t="str">
        <f>VLOOKUP(C800,'ACTIVOS CODIGO'!H:I,2,0)</f>
        <v>PASIVO DEL TESORO = PASIVO CORRIENTE</v>
      </c>
      <c r="E800" s="3"/>
      <c r="F800" s="8"/>
      <c r="G800" s="10">
        <v>133</v>
      </c>
      <c r="H800" s="10" t="str">
        <f>VLOOKUP(G800,'PUB 21'!$A$1:$B$29,2,0)</f>
        <v>DEPOSITOS DE TERCEROS</v>
      </c>
      <c r="I800"/>
      <c r="J800" s="4"/>
      <c r="K800">
        <v>15</v>
      </c>
      <c r="L800" s="4" t="s">
        <v>547</v>
      </c>
      <c r="M800" s="27" t="str">
        <f t="shared" si="144"/>
        <v>2-1-0-13-30-15</v>
      </c>
      <c r="N800" s="27" t="str">
        <f t="shared" si="145"/>
        <v>OTROS DESCUENTOS</v>
      </c>
      <c r="O800" s="4">
        <f t="shared" si="139"/>
        <v>181</v>
      </c>
      <c r="P800" s="4" t="s">
        <v>797</v>
      </c>
      <c r="Q800" s="4" t="str">
        <f t="shared" si="143"/>
        <v>2-1-0-13-30-15-181</v>
      </c>
      <c r="R800" s="4" t="str">
        <f t="shared" si="140"/>
        <v>REINT. AUMENT. 10% SAL. MIN</v>
      </c>
    </row>
    <row r="801" spans="1:18" x14ac:dyDescent="0.2">
      <c r="A801" s="1">
        <v>2</v>
      </c>
      <c r="B801" s="6" t="str">
        <f>VLOOKUP(A801,'ACTIVOS CODIGO'!A:B,2,0)</f>
        <v>PASIVO</v>
      </c>
      <c r="C801" s="2">
        <v>1</v>
      </c>
      <c r="D801" s="7" t="str">
        <f>VLOOKUP(C801,'ACTIVOS CODIGO'!H:I,2,0)</f>
        <v>PASIVO DEL TESORO = PASIVO CORRIENTE</v>
      </c>
      <c r="E801" s="3"/>
      <c r="F801" s="8"/>
      <c r="G801" s="10">
        <v>133</v>
      </c>
      <c r="H801" s="10" t="str">
        <f>VLOOKUP(G801,'PUB 21'!$A$1:$B$29,2,0)</f>
        <v>DEPOSITOS DE TERCEROS</v>
      </c>
      <c r="I801"/>
      <c r="J801" s="4"/>
      <c r="K801">
        <v>15</v>
      </c>
      <c r="L801" s="4" t="s">
        <v>547</v>
      </c>
      <c r="M801" s="27" t="str">
        <f t="shared" si="144"/>
        <v>2-1-0-13-30-15</v>
      </c>
      <c r="N801" s="27" t="str">
        <f t="shared" si="145"/>
        <v>OTROS DESCUENTOS</v>
      </c>
      <c r="O801" s="4">
        <f t="shared" si="139"/>
        <v>182</v>
      </c>
      <c r="P801" s="4" t="s">
        <v>798</v>
      </c>
      <c r="Q801" s="4" t="str">
        <f t="shared" si="143"/>
        <v>2-1-0-13-30-15-182</v>
      </c>
      <c r="R801" s="4" t="str">
        <f t="shared" si="140"/>
        <v>REINT. COBRO INDEB. HONOR.</v>
      </c>
    </row>
    <row r="802" spans="1:18" x14ac:dyDescent="0.2">
      <c r="A802" s="1">
        <v>2</v>
      </c>
      <c r="B802" s="6" t="str">
        <f>VLOOKUP(A802,'ACTIVOS CODIGO'!A:B,2,0)</f>
        <v>PASIVO</v>
      </c>
      <c r="C802" s="2">
        <v>1</v>
      </c>
      <c r="D802" s="7" t="str">
        <f>VLOOKUP(C802,'ACTIVOS CODIGO'!H:I,2,0)</f>
        <v>PASIVO DEL TESORO = PASIVO CORRIENTE</v>
      </c>
      <c r="E802" s="3"/>
      <c r="F802" s="8"/>
      <c r="G802" s="10">
        <v>133</v>
      </c>
      <c r="H802" s="10" t="str">
        <f>VLOOKUP(G802,'PUB 21'!$A$1:$B$29,2,0)</f>
        <v>DEPOSITOS DE TERCEROS</v>
      </c>
      <c r="I802"/>
      <c r="J802" s="4"/>
      <c r="K802">
        <v>15</v>
      </c>
      <c r="L802" s="4" t="s">
        <v>547</v>
      </c>
      <c r="M802" s="27" t="str">
        <f t="shared" si="144"/>
        <v>2-1-0-13-30-15</v>
      </c>
      <c r="N802" s="27" t="str">
        <f t="shared" si="145"/>
        <v>OTROS DESCUENTOS</v>
      </c>
      <c r="O802" s="4">
        <f t="shared" si="139"/>
        <v>183</v>
      </c>
      <c r="P802" s="4" t="s">
        <v>799</v>
      </c>
      <c r="Q802" s="4" t="str">
        <f t="shared" si="143"/>
        <v>2-1-0-13-30-15-183</v>
      </c>
      <c r="R802" s="4" t="str">
        <f t="shared" si="140"/>
        <v>REINT. PAGO INDEB. BONO VAC.</v>
      </c>
    </row>
    <row r="803" spans="1:18" x14ac:dyDescent="0.2">
      <c r="A803" s="1">
        <v>2</v>
      </c>
      <c r="B803" s="6" t="str">
        <f>VLOOKUP(A803,'ACTIVOS CODIGO'!A:B,2,0)</f>
        <v>PASIVO</v>
      </c>
      <c r="C803" s="2">
        <v>1</v>
      </c>
      <c r="D803" s="7" t="str">
        <f>VLOOKUP(C803,'ACTIVOS CODIGO'!H:I,2,0)</f>
        <v>PASIVO DEL TESORO = PASIVO CORRIENTE</v>
      </c>
      <c r="E803" s="3"/>
      <c r="F803" s="8"/>
      <c r="G803" s="10">
        <v>133</v>
      </c>
      <c r="H803" s="10" t="str">
        <f>VLOOKUP(G803,'PUB 21'!$A$1:$B$29,2,0)</f>
        <v>DEPOSITOS DE TERCEROS</v>
      </c>
      <c r="I803"/>
      <c r="J803" s="4"/>
      <c r="K803">
        <v>15</v>
      </c>
      <c r="L803" s="4" t="s">
        <v>547</v>
      </c>
      <c r="M803" s="27" t="str">
        <f t="shared" si="144"/>
        <v>2-1-0-13-30-15</v>
      </c>
      <c r="N803" s="27" t="str">
        <f t="shared" si="145"/>
        <v>OTROS DESCUENTOS</v>
      </c>
      <c r="O803" s="4">
        <f t="shared" si="139"/>
        <v>184</v>
      </c>
      <c r="P803" s="4" t="s">
        <v>800</v>
      </c>
      <c r="Q803" s="4" t="str">
        <f t="shared" si="143"/>
        <v>2-1-0-13-30-15-184</v>
      </c>
      <c r="R803" s="4" t="str">
        <f t="shared" si="140"/>
        <v>REINTEGRO PAGO INDEBIDO</v>
      </c>
    </row>
    <row r="804" spans="1:18" x14ac:dyDescent="0.2">
      <c r="A804" s="1">
        <v>2</v>
      </c>
      <c r="B804" s="6" t="str">
        <f>VLOOKUP(A804,'ACTIVOS CODIGO'!A:B,2,0)</f>
        <v>PASIVO</v>
      </c>
      <c r="C804" s="2">
        <v>1</v>
      </c>
      <c r="D804" s="7" t="str">
        <f>VLOOKUP(C804,'ACTIVOS CODIGO'!H:I,2,0)</f>
        <v>PASIVO DEL TESORO = PASIVO CORRIENTE</v>
      </c>
      <c r="E804" s="3"/>
      <c r="F804" s="8"/>
      <c r="G804" s="10">
        <v>133</v>
      </c>
      <c r="H804" s="10" t="str">
        <f>VLOOKUP(G804,'PUB 21'!$A$1:$B$29,2,0)</f>
        <v>DEPOSITOS DE TERCEROS</v>
      </c>
      <c r="I804"/>
      <c r="J804" s="4"/>
      <c r="K804">
        <v>15</v>
      </c>
      <c r="L804" s="4" t="s">
        <v>547</v>
      </c>
      <c r="M804" s="27" t="str">
        <f t="shared" si="144"/>
        <v>2-1-0-13-30-15</v>
      </c>
      <c r="N804" s="27" t="str">
        <f t="shared" si="145"/>
        <v>OTROS DESCUENTOS</v>
      </c>
      <c r="O804" s="4">
        <f t="shared" si="139"/>
        <v>185</v>
      </c>
      <c r="P804" s="4" t="s">
        <v>801</v>
      </c>
      <c r="Q804" s="4" t="str">
        <f t="shared" si="143"/>
        <v>2-1-0-13-30-15-185</v>
      </c>
      <c r="R804" s="4" t="str">
        <f t="shared" si="140"/>
        <v>DESCUENTO BONO DE RESPONSABILIDAD</v>
      </c>
    </row>
    <row r="805" spans="1:18" x14ac:dyDescent="0.2">
      <c r="A805" s="1">
        <v>2</v>
      </c>
      <c r="B805" s="6" t="str">
        <f>VLOOKUP(A805,'ACTIVOS CODIGO'!A:B,2,0)</f>
        <v>PASIVO</v>
      </c>
      <c r="C805" s="2">
        <v>1</v>
      </c>
      <c r="D805" s="7" t="str">
        <f>VLOOKUP(C805,'ACTIVOS CODIGO'!H:I,2,0)</f>
        <v>PASIVO DEL TESORO = PASIVO CORRIENTE</v>
      </c>
      <c r="E805" s="3"/>
      <c r="F805" s="8"/>
      <c r="G805" s="10">
        <v>133</v>
      </c>
      <c r="H805" s="10" t="str">
        <f>VLOOKUP(G805,'PUB 21'!$A$1:$B$29,2,0)</f>
        <v>DEPOSITOS DE TERCEROS</v>
      </c>
      <c r="I805"/>
      <c r="J805" s="4"/>
      <c r="K805">
        <v>15</v>
      </c>
      <c r="L805" s="4" t="s">
        <v>547</v>
      </c>
      <c r="M805" s="27" t="str">
        <f t="shared" si="144"/>
        <v>2-1-0-13-30-15</v>
      </c>
      <c r="N805" s="27" t="str">
        <f t="shared" si="145"/>
        <v>OTROS DESCUENTOS</v>
      </c>
      <c r="O805" s="4">
        <f t="shared" si="139"/>
        <v>186</v>
      </c>
      <c r="P805" s="4" t="s">
        <v>802</v>
      </c>
      <c r="Q805" s="4" t="str">
        <f t="shared" si="143"/>
        <v>2-1-0-13-30-15-186</v>
      </c>
      <c r="R805" s="4" t="str">
        <f t="shared" si="140"/>
        <v>PREST. SERV. MED. ODONTOLOGICO</v>
      </c>
    </row>
    <row r="806" spans="1:18" x14ac:dyDescent="0.2">
      <c r="A806" s="1">
        <v>2</v>
      </c>
      <c r="B806" s="6" t="str">
        <f>VLOOKUP(A806,'ACTIVOS CODIGO'!A:B,2,0)</f>
        <v>PASIVO</v>
      </c>
      <c r="C806" s="2">
        <v>1</v>
      </c>
      <c r="D806" s="7" t="str">
        <f>VLOOKUP(C806,'ACTIVOS CODIGO'!H:I,2,0)</f>
        <v>PASIVO DEL TESORO = PASIVO CORRIENTE</v>
      </c>
      <c r="E806" s="3"/>
      <c r="F806" s="8"/>
      <c r="G806" s="10">
        <v>133</v>
      </c>
      <c r="H806" s="10" t="str">
        <f>VLOOKUP(G806,'PUB 21'!$A$1:$B$29,2,0)</f>
        <v>DEPOSITOS DE TERCEROS</v>
      </c>
      <c r="I806"/>
      <c r="J806" s="4"/>
      <c r="K806">
        <v>15</v>
      </c>
      <c r="L806" s="4" t="s">
        <v>547</v>
      </c>
      <c r="M806" s="27" t="str">
        <f t="shared" si="144"/>
        <v>2-1-0-13-30-15</v>
      </c>
      <c r="N806" s="27" t="str">
        <f t="shared" si="145"/>
        <v>OTROS DESCUENTOS</v>
      </c>
      <c r="O806" s="4">
        <f t="shared" si="139"/>
        <v>187</v>
      </c>
      <c r="P806" s="4" t="s">
        <v>803</v>
      </c>
      <c r="Q806" s="4" t="str">
        <f t="shared" si="143"/>
        <v>2-1-0-13-30-15-187</v>
      </c>
      <c r="R806" s="4" t="str">
        <f t="shared" si="140"/>
        <v>REINTEGRO BONO VACACIONAL</v>
      </c>
    </row>
    <row r="807" spans="1:18" x14ac:dyDescent="0.2">
      <c r="A807" s="1">
        <v>2</v>
      </c>
      <c r="B807" s="6" t="str">
        <f>VLOOKUP(A807,'ACTIVOS CODIGO'!A:B,2,0)</f>
        <v>PASIVO</v>
      </c>
      <c r="C807" s="2">
        <v>1</v>
      </c>
      <c r="D807" s="7" t="str">
        <f>VLOOKUP(C807,'ACTIVOS CODIGO'!H:I,2,0)</f>
        <v>PASIVO DEL TESORO = PASIVO CORRIENTE</v>
      </c>
      <c r="E807" s="3"/>
      <c r="F807" s="8"/>
      <c r="G807" s="10">
        <v>133</v>
      </c>
      <c r="H807" s="10" t="str">
        <f>VLOOKUP(G807,'PUB 21'!$A$1:$B$29,2,0)</f>
        <v>DEPOSITOS DE TERCEROS</v>
      </c>
      <c r="I807"/>
      <c r="J807" s="4"/>
      <c r="K807">
        <v>15</v>
      </c>
      <c r="L807" s="4" t="s">
        <v>547</v>
      </c>
      <c r="M807" s="27" t="str">
        <f t="shared" si="144"/>
        <v>2-1-0-13-30-15</v>
      </c>
      <c r="N807" s="27" t="str">
        <f t="shared" si="145"/>
        <v>OTROS DESCUENTOS</v>
      </c>
      <c r="O807" s="4">
        <f t="shared" si="139"/>
        <v>188</v>
      </c>
      <c r="P807" s="4" t="s">
        <v>804</v>
      </c>
      <c r="Q807" s="4" t="str">
        <f t="shared" si="143"/>
        <v>2-1-0-13-30-15-188</v>
      </c>
      <c r="R807" s="4" t="str">
        <f t="shared" si="140"/>
        <v>REINTEGRO BONO DE RESPONSABILIDAD</v>
      </c>
    </row>
    <row r="808" spans="1:18" x14ac:dyDescent="0.2">
      <c r="A808" s="1">
        <v>2</v>
      </c>
      <c r="B808" s="6" t="str">
        <f>VLOOKUP(A808,'ACTIVOS CODIGO'!A:B,2,0)</f>
        <v>PASIVO</v>
      </c>
      <c r="C808" s="2">
        <v>1</v>
      </c>
      <c r="D808" s="7" t="str">
        <f>VLOOKUP(C808,'ACTIVOS CODIGO'!H:I,2,0)</f>
        <v>PASIVO DEL TESORO = PASIVO CORRIENTE</v>
      </c>
      <c r="E808" s="3"/>
      <c r="F808" s="8"/>
      <c r="G808" s="10">
        <v>133</v>
      </c>
      <c r="H808" s="10" t="str">
        <f>VLOOKUP(G808,'PUB 21'!$A$1:$B$29,2,0)</f>
        <v>DEPOSITOS DE TERCEROS</v>
      </c>
      <c r="I808"/>
      <c r="J808" s="4"/>
      <c r="K808">
        <v>15</v>
      </c>
      <c r="L808" s="4" t="s">
        <v>547</v>
      </c>
      <c r="M808" s="27" t="str">
        <f t="shared" si="144"/>
        <v>2-1-0-13-30-15</v>
      </c>
      <c r="N808" s="27" t="str">
        <f t="shared" si="145"/>
        <v>OTROS DESCUENTOS</v>
      </c>
      <c r="O808" s="4">
        <f t="shared" si="139"/>
        <v>189</v>
      </c>
      <c r="P808" s="4" t="s">
        <v>805</v>
      </c>
      <c r="Q808" s="4" t="str">
        <f t="shared" si="143"/>
        <v>2-1-0-13-30-15-189</v>
      </c>
      <c r="R808" s="4" t="str">
        <f t="shared" si="140"/>
        <v>REINT. COBRO AUM. SUELDO</v>
      </c>
    </row>
    <row r="809" spans="1:18" x14ac:dyDescent="0.2">
      <c r="A809" s="1">
        <v>2</v>
      </c>
      <c r="B809" s="6" t="str">
        <f>VLOOKUP(A809,'ACTIVOS CODIGO'!A:B,2,0)</f>
        <v>PASIVO</v>
      </c>
      <c r="C809" s="2">
        <v>1</v>
      </c>
      <c r="D809" s="7" t="str">
        <f>VLOOKUP(C809,'ACTIVOS CODIGO'!H:I,2,0)</f>
        <v>PASIVO DEL TESORO = PASIVO CORRIENTE</v>
      </c>
      <c r="E809" s="3"/>
      <c r="F809" s="8"/>
      <c r="G809" s="10">
        <v>133</v>
      </c>
      <c r="H809" s="10" t="str">
        <f>VLOOKUP(G809,'PUB 21'!$A$1:$B$29,2,0)</f>
        <v>DEPOSITOS DE TERCEROS</v>
      </c>
      <c r="I809"/>
      <c r="J809" s="4"/>
      <c r="K809">
        <v>15</v>
      </c>
      <c r="L809" s="4" t="s">
        <v>547</v>
      </c>
      <c r="M809" s="27" t="str">
        <f t="shared" si="144"/>
        <v>2-1-0-13-30-15</v>
      </c>
      <c r="N809" s="27" t="str">
        <f t="shared" si="145"/>
        <v>OTROS DESCUENTOS</v>
      </c>
      <c r="O809" s="4">
        <f t="shared" si="139"/>
        <v>190</v>
      </c>
      <c r="P809" s="4" t="s">
        <v>806</v>
      </c>
      <c r="Q809" s="4" t="str">
        <f t="shared" si="143"/>
        <v>2-1-0-13-30-15-190</v>
      </c>
      <c r="R809" s="4" t="str">
        <f t="shared" si="140"/>
        <v>REINT. AUMENTO CONT.</v>
      </c>
    </row>
    <row r="810" spans="1:18" x14ac:dyDescent="0.2">
      <c r="A810" s="1">
        <v>2</v>
      </c>
      <c r="B810" s="6" t="str">
        <f>VLOOKUP(A810,'ACTIVOS CODIGO'!A:B,2,0)</f>
        <v>PASIVO</v>
      </c>
      <c r="C810" s="2">
        <v>1</v>
      </c>
      <c r="D810" s="7" t="str">
        <f>VLOOKUP(C810,'ACTIVOS CODIGO'!H:I,2,0)</f>
        <v>PASIVO DEL TESORO = PASIVO CORRIENTE</v>
      </c>
      <c r="E810" s="3"/>
      <c r="F810" s="8"/>
      <c r="G810" s="10">
        <v>133</v>
      </c>
      <c r="H810" s="10" t="str">
        <f>VLOOKUP(G810,'PUB 21'!$A$1:$B$29,2,0)</f>
        <v>DEPOSITOS DE TERCEROS</v>
      </c>
      <c r="I810"/>
      <c r="J810" s="4"/>
      <c r="K810">
        <v>15</v>
      </c>
      <c r="L810" s="4" t="s">
        <v>547</v>
      </c>
      <c r="M810" s="27" t="str">
        <f t="shared" si="144"/>
        <v>2-1-0-13-30-15</v>
      </c>
      <c r="N810" s="27" t="str">
        <f t="shared" si="145"/>
        <v>OTROS DESCUENTOS</v>
      </c>
      <c r="O810" s="4">
        <f t="shared" si="139"/>
        <v>191</v>
      </c>
      <c r="P810" s="4" t="s">
        <v>807</v>
      </c>
      <c r="Q810" s="4" t="str">
        <f t="shared" si="143"/>
        <v>2-1-0-13-30-15-191</v>
      </c>
      <c r="R810" s="4" t="str">
        <f t="shared" si="140"/>
        <v>REINT. AUMENTO CONT. JULIO</v>
      </c>
    </row>
    <row r="811" spans="1:18" x14ac:dyDescent="0.2">
      <c r="A811" s="1">
        <v>2</v>
      </c>
      <c r="B811" s="6" t="str">
        <f>VLOOKUP(A811,'ACTIVOS CODIGO'!A:B,2,0)</f>
        <v>PASIVO</v>
      </c>
      <c r="C811" s="2">
        <v>1</v>
      </c>
      <c r="D811" s="7" t="str">
        <f>VLOOKUP(C811,'ACTIVOS CODIGO'!H:I,2,0)</f>
        <v>PASIVO DEL TESORO = PASIVO CORRIENTE</v>
      </c>
      <c r="E811" s="3"/>
      <c r="F811" s="8"/>
      <c r="G811" s="10">
        <v>133</v>
      </c>
      <c r="H811" s="10" t="str">
        <f>VLOOKUP(G811,'PUB 21'!$A$1:$B$29,2,0)</f>
        <v>DEPOSITOS DE TERCEROS</v>
      </c>
      <c r="I811"/>
      <c r="J811" s="4"/>
      <c r="K811">
        <v>15</v>
      </c>
      <c r="L811" s="4" t="s">
        <v>547</v>
      </c>
      <c r="M811" s="27" t="str">
        <f t="shared" si="144"/>
        <v>2-1-0-13-30-15</v>
      </c>
      <c r="N811" s="27" t="str">
        <f t="shared" si="145"/>
        <v>OTROS DESCUENTOS</v>
      </c>
      <c r="O811" s="4">
        <f t="shared" si="139"/>
        <v>192</v>
      </c>
      <c r="P811" s="4" t="s">
        <v>808</v>
      </c>
      <c r="Q811" s="4" t="str">
        <f t="shared" si="143"/>
        <v>2-1-0-13-30-15-192</v>
      </c>
      <c r="R811" s="4" t="str">
        <f t="shared" si="140"/>
        <v>REINT. AUMENT. 20 SALAR.</v>
      </c>
    </row>
    <row r="812" spans="1:18" x14ac:dyDescent="0.2">
      <c r="A812" s="1">
        <v>2</v>
      </c>
      <c r="B812" s="6" t="str">
        <f>VLOOKUP(A812,'ACTIVOS CODIGO'!A:B,2,0)</f>
        <v>PASIVO</v>
      </c>
      <c r="C812" s="2">
        <v>1</v>
      </c>
      <c r="D812" s="7" t="str">
        <f>VLOOKUP(C812,'ACTIVOS CODIGO'!H:I,2,0)</f>
        <v>PASIVO DEL TESORO = PASIVO CORRIENTE</v>
      </c>
      <c r="E812" s="3"/>
      <c r="F812" s="8"/>
      <c r="G812" s="10">
        <v>133</v>
      </c>
      <c r="H812" s="10" t="str">
        <f>VLOOKUP(G812,'PUB 21'!$A$1:$B$29,2,0)</f>
        <v>DEPOSITOS DE TERCEROS</v>
      </c>
      <c r="I812"/>
      <c r="J812" s="4"/>
      <c r="K812">
        <v>15</v>
      </c>
      <c r="L812" s="4" t="s">
        <v>547</v>
      </c>
      <c r="M812" s="27" t="str">
        <f t="shared" si="144"/>
        <v>2-1-0-13-30-15</v>
      </c>
      <c r="N812" s="27" t="str">
        <f t="shared" si="145"/>
        <v>OTROS DESCUENTOS</v>
      </c>
      <c r="O812" s="4">
        <f t="shared" si="139"/>
        <v>193</v>
      </c>
      <c r="P812" s="4" t="s">
        <v>809</v>
      </c>
      <c r="Q812" s="4" t="str">
        <f t="shared" si="143"/>
        <v>2-1-0-13-30-15-193</v>
      </c>
      <c r="R812" s="4" t="str">
        <f t="shared" si="140"/>
        <v>REINT. AUMENTO DE SUELDO 50%</v>
      </c>
    </row>
    <row r="813" spans="1:18" x14ac:dyDescent="0.2">
      <c r="A813" s="1">
        <v>2</v>
      </c>
      <c r="B813" s="6" t="str">
        <f>VLOOKUP(A813,'ACTIVOS CODIGO'!A:B,2,0)</f>
        <v>PASIVO</v>
      </c>
      <c r="C813" s="2">
        <v>1</v>
      </c>
      <c r="D813" s="7" t="str">
        <f>VLOOKUP(C813,'ACTIVOS CODIGO'!H:I,2,0)</f>
        <v>PASIVO DEL TESORO = PASIVO CORRIENTE</v>
      </c>
      <c r="E813" s="3"/>
      <c r="F813" s="8"/>
      <c r="G813" s="10">
        <v>133</v>
      </c>
      <c r="H813" s="10" t="str">
        <f>VLOOKUP(G813,'PUB 21'!$A$1:$B$29,2,0)</f>
        <v>DEPOSITOS DE TERCEROS</v>
      </c>
      <c r="I813"/>
      <c r="J813" s="4"/>
      <c r="K813">
        <v>15</v>
      </c>
      <c r="L813" s="4" t="s">
        <v>547</v>
      </c>
      <c r="M813" s="27" t="str">
        <f t="shared" si="144"/>
        <v>2-1-0-13-30-15</v>
      </c>
      <c r="N813" s="27" t="str">
        <f t="shared" si="145"/>
        <v>OTROS DESCUENTOS</v>
      </c>
      <c r="O813" s="4">
        <f t="shared" si="139"/>
        <v>194</v>
      </c>
      <c r="P813" s="4" t="s">
        <v>810</v>
      </c>
      <c r="Q813" s="4" t="str">
        <f t="shared" si="143"/>
        <v>2-1-0-13-30-15-194</v>
      </c>
      <c r="R813" s="4" t="str">
        <f t="shared" si="140"/>
        <v>MISCELANEOS</v>
      </c>
    </row>
    <row r="814" spans="1:18" x14ac:dyDescent="0.2">
      <c r="A814" s="1">
        <v>2</v>
      </c>
      <c r="B814" s="6" t="str">
        <f>VLOOKUP(A814,'ACTIVOS CODIGO'!A:B,2,0)</f>
        <v>PASIVO</v>
      </c>
      <c r="C814" s="2">
        <v>1</v>
      </c>
      <c r="D814" s="7" t="str">
        <f>VLOOKUP(C814,'ACTIVOS CODIGO'!H:I,2,0)</f>
        <v>PASIVO DEL TESORO = PASIVO CORRIENTE</v>
      </c>
      <c r="E814" s="3"/>
      <c r="F814" s="8"/>
      <c r="G814" s="10">
        <v>133</v>
      </c>
      <c r="H814" s="10" t="str">
        <f>VLOOKUP(G814,'PUB 21'!$A$1:$B$29,2,0)</f>
        <v>DEPOSITOS DE TERCEROS</v>
      </c>
      <c r="I814"/>
      <c r="J814" s="4"/>
      <c r="K814">
        <v>15</v>
      </c>
      <c r="L814" s="4" t="s">
        <v>547</v>
      </c>
      <c r="M814" s="27" t="str">
        <f t="shared" si="144"/>
        <v>2-1-0-13-30-15</v>
      </c>
      <c r="N814" s="27" t="str">
        <f t="shared" si="145"/>
        <v>OTROS DESCUENTOS</v>
      </c>
      <c r="O814" s="4">
        <f t="shared" si="139"/>
        <v>195</v>
      </c>
      <c r="P814" s="4" t="s">
        <v>811</v>
      </c>
      <c r="Q814" s="4" t="str">
        <f t="shared" si="143"/>
        <v>2-1-0-13-30-15-195</v>
      </c>
      <c r="R814" s="4" t="str">
        <f t="shared" si="140"/>
        <v>FERIA NAVIDEÃ‘A CONTRATADOS</v>
      </c>
    </row>
    <row r="815" spans="1:18" x14ac:dyDescent="0.2">
      <c r="A815" s="1">
        <v>2</v>
      </c>
      <c r="B815" s="6" t="str">
        <f>VLOOKUP(A815,'ACTIVOS CODIGO'!A:B,2,0)</f>
        <v>PASIVO</v>
      </c>
      <c r="C815" s="2">
        <v>1</v>
      </c>
      <c r="D815" s="7" t="str">
        <f>VLOOKUP(C815,'ACTIVOS CODIGO'!H:I,2,0)</f>
        <v>PASIVO DEL TESORO = PASIVO CORRIENTE</v>
      </c>
      <c r="E815" s="3"/>
      <c r="F815" s="8"/>
      <c r="G815" s="10">
        <v>133</v>
      </c>
      <c r="H815" s="10" t="str">
        <f>VLOOKUP(G815,'PUB 21'!$A$1:$B$29,2,0)</f>
        <v>DEPOSITOS DE TERCEROS</v>
      </c>
      <c r="I815"/>
      <c r="J815" s="4"/>
      <c r="K815">
        <v>15</v>
      </c>
      <c r="L815" s="4" t="s">
        <v>547</v>
      </c>
      <c r="M815" s="27" t="str">
        <f t="shared" si="144"/>
        <v>2-1-0-13-30-15</v>
      </c>
      <c r="N815" s="27" t="str">
        <f t="shared" si="145"/>
        <v>OTROS DESCUENTOS</v>
      </c>
      <c r="O815" s="4">
        <f t="shared" si="139"/>
        <v>196</v>
      </c>
      <c r="P815" s="4" t="s">
        <v>812</v>
      </c>
      <c r="Q815" s="4" t="str">
        <f t="shared" si="143"/>
        <v>2-1-0-13-30-15-196</v>
      </c>
      <c r="R815" s="4" t="str">
        <f t="shared" si="140"/>
        <v>GIRO ESPECIAL AGUINALDO</v>
      </c>
    </row>
    <row r="816" spans="1:18" x14ac:dyDescent="0.2">
      <c r="A816" s="1">
        <v>2</v>
      </c>
      <c r="B816" s="6" t="str">
        <f>VLOOKUP(A816,'ACTIVOS CODIGO'!A:B,2,0)</f>
        <v>PASIVO</v>
      </c>
      <c r="C816" s="2">
        <v>1</v>
      </c>
      <c r="D816" s="7" t="str">
        <f>VLOOKUP(C816,'ACTIVOS CODIGO'!H:I,2,0)</f>
        <v>PASIVO DEL TESORO = PASIVO CORRIENTE</v>
      </c>
      <c r="E816" s="3"/>
      <c r="F816" s="8"/>
      <c r="G816" s="10">
        <v>133</v>
      </c>
      <c r="H816" s="10" t="str">
        <f>VLOOKUP(G816,'PUB 21'!$A$1:$B$29,2,0)</f>
        <v>DEPOSITOS DE TERCEROS</v>
      </c>
      <c r="I816"/>
      <c r="J816" s="4"/>
      <c r="K816">
        <v>15</v>
      </c>
      <c r="L816" s="4" t="s">
        <v>547</v>
      </c>
      <c r="M816" s="27" t="str">
        <f t="shared" si="144"/>
        <v>2-1-0-13-30-15</v>
      </c>
      <c r="N816" s="27" t="str">
        <f t="shared" si="145"/>
        <v>OTROS DESCUENTOS</v>
      </c>
      <c r="O816" s="4">
        <f t="shared" si="139"/>
        <v>197</v>
      </c>
      <c r="P816" s="4" t="s">
        <v>813</v>
      </c>
      <c r="Q816" s="4" t="str">
        <f t="shared" si="143"/>
        <v>2-1-0-13-30-15-197</v>
      </c>
      <c r="R816" s="4" t="str">
        <f t="shared" si="140"/>
        <v>REINTEGRO COMPENS.</v>
      </c>
    </row>
    <row r="817" spans="1:18" x14ac:dyDescent="0.2">
      <c r="A817" s="1">
        <v>2</v>
      </c>
      <c r="B817" s="6" t="str">
        <f>VLOOKUP(A817,'ACTIVOS CODIGO'!A:B,2,0)</f>
        <v>PASIVO</v>
      </c>
      <c r="C817" s="2">
        <v>1</v>
      </c>
      <c r="D817" s="7" t="str">
        <f>VLOOKUP(C817,'ACTIVOS CODIGO'!H:I,2,0)</f>
        <v>PASIVO DEL TESORO = PASIVO CORRIENTE</v>
      </c>
      <c r="E817" s="3"/>
      <c r="F817" s="8"/>
      <c r="G817" s="10">
        <v>133</v>
      </c>
      <c r="H817" s="10" t="str">
        <f>VLOOKUP(G817,'PUB 21'!$A$1:$B$29,2,0)</f>
        <v>DEPOSITOS DE TERCEROS</v>
      </c>
      <c r="I817"/>
      <c r="J817" s="4"/>
      <c r="K817">
        <v>15</v>
      </c>
      <c r="L817" s="4" t="s">
        <v>547</v>
      </c>
      <c r="M817" s="27" t="str">
        <f t="shared" si="144"/>
        <v>2-1-0-13-30-15</v>
      </c>
      <c r="N817" s="27" t="str">
        <f t="shared" si="145"/>
        <v>OTROS DESCUENTOS</v>
      </c>
      <c r="O817" s="4">
        <f t="shared" si="139"/>
        <v>198</v>
      </c>
      <c r="P817" s="4" t="s">
        <v>814</v>
      </c>
      <c r="Q817" s="4" t="str">
        <f t="shared" si="143"/>
        <v>2-1-0-13-30-15-198</v>
      </c>
      <c r="R817" s="4" t="str">
        <f t="shared" si="140"/>
        <v>REINT. OTRAS COMPENS.</v>
      </c>
    </row>
    <row r="818" spans="1:18" x14ac:dyDescent="0.2">
      <c r="A818" s="1">
        <v>2</v>
      </c>
      <c r="B818" s="6" t="str">
        <f>VLOOKUP(A818,'ACTIVOS CODIGO'!A:B,2,0)</f>
        <v>PASIVO</v>
      </c>
      <c r="C818" s="2">
        <v>1</v>
      </c>
      <c r="D818" s="7" t="str">
        <f>VLOOKUP(C818,'ACTIVOS CODIGO'!H:I,2,0)</f>
        <v>PASIVO DEL TESORO = PASIVO CORRIENTE</v>
      </c>
      <c r="E818" s="3"/>
      <c r="F818" s="8"/>
      <c r="G818" s="10">
        <v>133</v>
      </c>
      <c r="H818" s="10" t="str">
        <f>VLOOKUP(G818,'PUB 21'!$A$1:$B$29,2,0)</f>
        <v>DEPOSITOS DE TERCEROS</v>
      </c>
      <c r="I818"/>
      <c r="J818" s="4"/>
      <c r="K818">
        <v>15</v>
      </c>
      <c r="L818" s="4" t="s">
        <v>547</v>
      </c>
      <c r="M818" s="27" t="str">
        <f t="shared" si="144"/>
        <v>2-1-0-13-30-15</v>
      </c>
      <c r="N818" s="27" t="str">
        <f t="shared" si="145"/>
        <v>OTROS DESCUENTOS</v>
      </c>
      <c r="O818" s="4">
        <f t="shared" si="139"/>
        <v>199</v>
      </c>
      <c r="P818" s="4" t="s">
        <v>815</v>
      </c>
      <c r="Q818" s="4" t="str">
        <f t="shared" si="143"/>
        <v>2-1-0-13-30-15-199</v>
      </c>
      <c r="R818" s="4" t="str">
        <f t="shared" si="140"/>
        <v>REINTEGRO PRIMA PROTECCION DEL HOGAR</v>
      </c>
    </row>
    <row r="819" spans="1:18" x14ac:dyDescent="0.2">
      <c r="A819" s="1">
        <v>2</v>
      </c>
      <c r="B819" s="6" t="str">
        <f>VLOOKUP(A819,'ACTIVOS CODIGO'!A:B,2,0)</f>
        <v>PASIVO</v>
      </c>
      <c r="C819" s="2">
        <v>1</v>
      </c>
      <c r="D819" s="7" t="str">
        <f>VLOOKUP(C819,'ACTIVOS CODIGO'!H:I,2,0)</f>
        <v>PASIVO DEL TESORO = PASIVO CORRIENTE</v>
      </c>
      <c r="E819" s="3"/>
      <c r="F819" s="8"/>
      <c r="G819" s="10">
        <v>133</v>
      </c>
      <c r="H819" s="10" t="str">
        <f>VLOOKUP(G819,'PUB 21'!$A$1:$B$29,2,0)</f>
        <v>DEPOSITOS DE TERCEROS</v>
      </c>
      <c r="I819"/>
      <c r="J819" s="4"/>
      <c r="K819">
        <v>15</v>
      </c>
      <c r="L819" s="4" t="s">
        <v>547</v>
      </c>
      <c r="M819" s="27" t="str">
        <f t="shared" si="144"/>
        <v>2-1-0-13-30-15</v>
      </c>
      <c r="N819" s="27" t="str">
        <f t="shared" si="145"/>
        <v>OTROS DESCUENTOS</v>
      </c>
      <c r="O819" s="4">
        <f t="shared" si="139"/>
        <v>200</v>
      </c>
      <c r="P819" s="4" t="s">
        <v>816</v>
      </c>
      <c r="Q819" s="4" t="str">
        <f t="shared" si="143"/>
        <v>2-1-0-13-30-15-200</v>
      </c>
      <c r="R819" s="4" t="str">
        <f t="shared" si="140"/>
        <v>DCTOS. COMBOS ALIMENTARIOS</v>
      </c>
    </row>
    <row r="820" spans="1:18" x14ac:dyDescent="0.2">
      <c r="A820" s="1">
        <v>2</v>
      </c>
      <c r="B820" s="6" t="str">
        <f>VLOOKUP(A820,'ACTIVOS CODIGO'!A:B,2,0)</f>
        <v>PASIVO</v>
      </c>
      <c r="C820" s="2">
        <v>1</v>
      </c>
      <c r="D820" s="7" t="str">
        <f>VLOOKUP(C820,'ACTIVOS CODIGO'!H:I,2,0)</f>
        <v>PASIVO DEL TESORO = PASIVO CORRIENTE</v>
      </c>
      <c r="E820" s="3"/>
      <c r="F820" s="8"/>
      <c r="G820" s="10">
        <v>133</v>
      </c>
      <c r="H820" s="10" t="str">
        <f>VLOOKUP(G820,'PUB 21'!$A$1:$B$29,2,0)</f>
        <v>DEPOSITOS DE TERCEROS</v>
      </c>
      <c r="I820"/>
      <c r="J820" s="4"/>
      <c r="K820">
        <v>15</v>
      </c>
      <c r="L820" s="4" t="s">
        <v>547</v>
      </c>
      <c r="M820" s="27" t="str">
        <f t="shared" si="144"/>
        <v>2-1-0-13-30-15</v>
      </c>
      <c r="N820" s="27" t="str">
        <f t="shared" si="145"/>
        <v>OTROS DESCUENTOS</v>
      </c>
      <c r="O820" s="4">
        <f t="shared" si="139"/>
        <v>201</v>
      </c>
      <c r="P820" s="4" t="s">
        <v>817</v>
      </c>
      <c r="Q820" s="4" t="str">
        <f t="shared" si="143"/>
        <v>2-1-0-13-30-15-201</v>
      </c>
      <c r="R820" s="4" t="str">
        <f t="shared" si="140"/>
        <v>RETROACT. PENSION ALIMENT. PERS.</v>
      </c>
    </row>
    <row r="821" spans="1:18" x14ac:dyDescent="0.2">
      <c r="A821" s="1">
        <v>2</v>
      </c>
      <c r="B821" s="6" t="str">
        <f>VLOOKUP(A821,'ACTIVOS CODIGO'!A:B,2,0)</f>
        <v>PASIVO</v>
      </c>
      <c r="C821" s="2">
        <v>1</v>
      </c>
      <c r="D821" s="7" t="str">
        <f>VLOOKUP(C821,'ACTIVOS CODIGO'!H:I,2,0)</f>
        <v>PASIVO DEL TESORO = PASIVO CORRIENTE</v>
      </c>
      <c r="E821" s="3"/>
      <c r="F821" s="8"/>
      <c r="G821" s="10">
        <v>133</v>
      </c>
      <c r="H821" s="10" t="str">
        <f>VLOOKUP(G821,'PUB 21'!$A$1:$B$29,2,0)</f>
        <v>DEPOSITOS DE TERCEROS</v>
      </c>
      <c r="I821"/>
      <c r="J821" s="4"/>
      <c r="K821">
        <v>15</v>
      </c>
      <c r="L821" s="4" t="s">
        <v>547</v>
      </c>
      <c r="M821" s="27" t="str">
        <f t="shared" si="144"/>
        <v>2-1-0-13-30-15</v>
      </c>
      <c r="N821" s="27" t="str">
        <f t="shared" si="145"/>
        <v>OTROS DESCUENTOS</v>
      </c>
      <c r="O821" s="4">
        <f t="shared" si="139"/>
        <v>202</v>
      </c>
      <c r="P821" s="4" t="s">
        <v>818</v>
      </c>
      <c r="Q821" s="4" t="str">
        <f t="shared" si="143"/>
        <v>2-1-0-13-30-15-202</v>
      </c>
      <c r="R821" s="4" t="str">
        <f t="shared" si="140"/>
        <v>REINT. COBRO INDEB. SUELDO</v>
      </c>
    </row>
    <row r="822" spans="1:18" x14ac:dyDescent="0.2">
      <c r="A822" s="1">
        <v>2</v>
      </c>
      <c r="B822" s="6" t="str">
        <f>VLOOKUP(A822,'ACTIVOS CODIGO'!A:B,2,0)</f>
        <v>PASIVO</v>
      </c>
      <c r="C822" s="2">
        <v>1</v>
      </c>
      <c r="D822" s="7" t="str">
        <f>VLOOKUP(C822,'ACTIVOS CODIGO'!H:I,2,0)</f>
        <v>PASIVO DEL TESORO = PASIVO CORRIENTE</v>
      </c>
      <c r="E822" s="3"/>
      <c r="F822" s="8"/>
      <c r="G822" s="10">
        <v>133</v>
      </c>
      <c r="H822" s="10" t="str">
        <f>VLOOKUP(G822,'PUB 21'!$A$1:$B$29,2,0)</f>
        <v>DEPOSITOS DE TERCEROS</v>
      </c>
      <c r="I822"/>
      <c r="J822" s="4"/>
      <c r="K822">
        <v>15</v>
      </c>
      <c r="L822" s="4" t="s">
        <v>547</v>
      </c>
      <c r="M822" s="27" t="str">
        <f t="shared" si="144"/>
        <v>2-1-0-13-30-15</v>
      </c>
      <c r="N822" s="27" t="str">
        <f t="shared" si="145"/>
        <v>OTROS DESCUENTOS</v>
      </c>
      <c r="O822" s="4">
        <f t="shared" si="139"/>
        <v>203</v>
      </c>
      <c r="P822" s="4" t="s">
        <v>819</v>
      </c>
      <c r="Q822" s="4" t="str">
        <f t="shared" si="143"/>
        <v>2-1-0-13-30-15-203</v>
      </c>
      <c r="R822" s="4" t="str">
        <f t="shared" si="140"/>
        <v>DESC. UTILES ESCOLARES TRIB. PERS.</v>
      </c>
    </row>
    <row r="823" spans="1:18" x14ac:dyDescent="0.2">
      <c r="A823" s="1">
        <v>2</v>
      </c>
      <c r="B823" s="6" t="str">
        <f>VLOOKUP(A823,'ACTIVOS CODIGO'!A:B,2,0)</f>
        <v>PASIVO</v>
      </c>
      <c r="C823" s="2">
        <v>1</v>
      </c>
      <c r="D823" s="7" t="str">
        <f>VLOOKUP(C823,'ACTIVOS CODIGO'!H:I,2,0)</f>
        <v>PASIVO DEL TESORO = PASIVO CORRIENTE</v>
      </c>
      <c r="E823" s="3"/>
      <c r="F823" s="8"/>
      <c r="G823" s="10">
        <v>133</v>
      </c>
      <c r="H823" s="10" t="str">
        <f>VLOOKUP(G823,'PUB 21'!$A$1:$B$29,2,0)</f>
        <v>DEPOSITOS DE TERCEROS</v>
      </c>
      <c r="I823"/>
      <c r="J823" s="4"/>
      <c r="K823">
        <v>15</v>
      </c>
      <c r="L823" s="4" t="s">
        <v>547</v>
      </c>
      <c r="M823" s="27" t="str">
        <f t="shared" si="144"/>
        <v>2-1-0-13-30-15</v>
      </c>
      <c r="N823" s="27" t="str">
        <f t="shared" si="145"/>
        <v>OTROS DESCUENTOS</v>
      </c>
      <c r="O823" s="4">
        <f t="shared" si="139"/>
        <v>204</v>
      </c>
      <c r="P823" s="4" t="s">
        <v>820</v>
      </c>
      <c r="Q823" s="4" t="str">
        <f t="shared" si="143"/>
        <v>2-1-0-13-30-15-204</v>
      </c>
      <c r="R823" s="4" t="str">
        <f t="shared" si="140"/>
        <v>DESC. JUGUETES POR TRIBUNAL</v>
      </c>
    </row>
    <row r="824" spans="1:18" x14ac:dyDescent="0.2">
      <c r="A824" s="1">
        <v>2</v>
      </c>
      <c r="B824" s="6" t="str">
        <f>VLOOKUP(A824,'ACTIVOS CODIGO'!A:B,2,0)</f>
        <v>PASIVO</v>
      </c>
      <c r="C824" s="2">
        <v>1</v>
      </c>
      <c r="D824" s="7" t="str">
        <f>VLOOKUP(C824,'ACTIVOS CODIGO'!H:I,2,0)</f>
        <v>PASIVO DEL TESORO = PASIVO CORRIENTE</v>
      </c>
      <c r="E824" s="3"/>
      <c r="F824" s="8"/>
      <c r="G824" s="10">
        <v>133</v>
      </c>
      <c r="H824" s="10" t="str">
        <f>VLOOKUP(G824,'PUB 21'!$A$1:$B$29,2,0)</f>
        <v>DEPOSITOS DE TERCEROS</v>
      </c>
      <c r="I824"/>
      <c r="J824" s="4"/>
      <c r="K824">
        <v>15</v>
      </c>
      <c r="L824" s="4" t="s">
        <v>547</v>
      </c>
      <c r="M824" s="27" t="str">
        <f t="shared" si="144"/>
        <v>2-1-0-13-30-15</v>
      </c>
      <c r="N824" s="27" t="str">
        <f t="shared" si="145"/>
        <v>OTROS DESCUENTOS</v>
      </c>
      <c r="O824" s="4">
        <f t="shared" si="139"/>
        <v>205</v>
      </c>
      <c r="P824" s="4" t="s">
        <v>821</v>
      </c>
      <c r="Q824" s="4" t="str">
        <f t="shared" si="143"/>
        <v>2-1-0-13-30-15-205</v>
      </c>
      <c r="R824" s="4" t="str">
        <f t="shared" si="140"/>
        <v>REINT. PAGO INDEBIDO DIAS FERIADO</v>
      </c>
    </row>
    <row r="825" spans="1:18" x14ac:dyDescent="0.2">
      <c r="A825" s="1">
        <v>2</v>
      </c>
      <c r="B825" s="6" t="str">
        <f>VLOOKUP(A825,'ACTIVOS CODIGO'!A:B,2,0)</f>
        <v>PASIVO</v>
      </c>
      <c r="C825" s="2">
        <v>1</v>
      </c>
      <c r="D825" s="7" t="str">
        <f>VLOOKUP(C825,'ACTIVOS CODIGO'!H:I,2,0)</f>
        <v>PASIVO DEL TESORO = PASIVO CORRIENTE</v>
      </c>
      <c r="E825" s="3"/>
      <c r="F825" s="8"/>
      <c r="G825" s="10">
        <v>133</v>
      </c>
      <c r="H825" s="10" t="str">
        <f>VLOOKUP(G825,'PUB 21'!$A$1:$B$29,2,0)</f>
        <v>DEPOSITOS DE TERCEROS</v>
      </c>
      <c r="I825"/>
      <c r="J825" s="4"/>
      <c r="K825">
        <v>15</v>
      </c>
      <c r="L825" s="4" t="s">
        <v>547</v>
      </c>
      <c r="M825" s="27" t="str">
        <f t="shared" si="144"/>
        <v>2-1-0-13-30-15</v>
      </c>
      <c r="N825" s="27" t="str">
        <f t="shared" si="145"/>
        <v>OTROS DESCUENTOS</v>
      </c>
      <c r="O825" s="4">
        <f t="shared" ref="O825:O888" si="146">IF(P825="",0,IF(M824=M825,IF(O824="",0,O824)+1,""))</f>
        <v>206</v>
      </c>
      <c r="P825" s="4" t="s">
        <v>822</v>
      </c>
      <c r="Q825" s="4" t="str">
        <f t="shared" si="143"/>
        <v>2-1-0-13-30-15-206</v>
      </c>
      <c r="R825" s="4" t="str">
        <f t="shared" si="140"/>
        <v>DCTO. DIA DE PERMISO CONTRATADOS</v>
      </c>
    </row>
    <row r="826" spans="1:18" x14ac:dyDescent="0.2">
      <c r="A826" s="1">
        <v>2</v>
      </c>
      <c r="B826" s="6" t="str">
        <f>VLOOKUP(A826,'ACTIVOS CODIGO'!A:B,2,0)</f>
        <v>PASIVO</v>
      </c>
      <c r="C826" s="2">
        <v>1</v>
      </c>
      <c r="D826" s="7" t="str">
        <f>VLOOKUP(C826,'ACTIVOS CODIGO'!H:I,2,0)</f>
        <v>PASIVO DEL TESORO = PASIVO CORRIENTE</v>
      </c>
      <c r="E826" s="3"/>
      <c r="F826" s="8"/>
      <c r="G826" s="10">
        <v>133</v>
      </c>
      <c r="H826" s="10" t="str">
        <f>VLOOKUP(G826,'PUB 21'!$A$1:$B$29,2,0)</f>
        <v>DEPOSITOS DE TERCEROS</v>
      </c>
      <c r="I826"/>
      <c r="J826" s="4"/>
      <c r="K826">
        <v>15</v>
      </c>
      <c r="L826" s="4" t="s">
        <v>547</v>
      </c>
      <c r="M826" s="27" t="str">
        <f t="shared" si="144"/>
        <v>2-1-0-13-30-15</v>
      </c>
      <c r="N826" s="27" t="str">
        <f t="shared" si="145"/>
        <v>OTROS DESCUENTOS</v>
      </c>
      <c r="O826" s="4">
        <f t="shared" si="146"/>
        <v>207</v>
      </c>
      <c r="P826" s="4" t="s">
        <v>823</v>
      </c>
      <c r="Q826" s="4" t="str">
        <f t="shared" si="143"/>
        <v>2-1-0-13-30-15-207</v>
      </c>
      <c r="R826" s="4" t="str">
        <f t="shared" si="140"/>
        <v>REINT. PAGO INDEB. DIA FERIADO</v>
      </c>
    </row>
    <row r="827" spans="1:18" x14ac:dyDescent="0.2">
      <c r="A827" s="1">
        <v>2</v>
      </c>
      <c r="B827" s="6" t="str">
        <f>VLOOKUP(A827,'ACTIVOS CODIGO'!A:B,2,0)</f>
        <v>PASIVO</v>
      </c>
      <c r="C827" s="2">
        <v>1</v>
      </c>
      <c r="D827" s="7" t="str">
        <f>VLOOKUP(C827,'ACTIVOS CODIGO'!H:I,2,0)</f>
        <v>PASIVO DEL TESORO = PASIVO CORRIENTE</v>
      </c>
      <c r="E827" s="3"/>
      <c r="F827" s="8"/>
      <c r="G827" s="10">
        <v>133</v>
      </c>
      <c r="H827" s="10" t="str">
        <f>VLOOKUP(G827,'PUB 21'!$A$1:$B$29,2,0)</f>
        <v>DEPOSITOS DE TERCEROS</v>
      </c>
      <c r="I827"/>
      <c r="J827" s="4"/>
      <c r="K827">
        <v>15</v>
      </c>
      <c r="L827" s="4" t="s">
        <v>547</v>
      </c>
      <c r="M827" s="27" t="str">
        <f t="shared" si="144"/>
        <v>2-1-0-13-30-15</v>
      </c>
      <c r="N827" s="27" t="str">
        <f t="shared" si="145"/>
        <v>OTROS DESCUENTOS</v>
      </c>
      <c r="O827" s="4">
        <f t="shared" si="146"/>
        <v>208</v>
      </c>
      <c r="P827" s="4" t="s">
        <v>824</v>
      </c>
      <c r="Q827" s="4" t="str">
        <f t="shared" si="143"/>
        <v>2-1-0-13-30-15-208</v>
      </c>
      <c r="R827" s="4" t="str">
        <f t="shared" ref="R827:R890" si="147">IF(P827="",IF(L827="",IF(J827="",IF(H827="",IF(F827="",IF(D827="",B827,D827),F827),H827),J827),L827),P827)</f>
        <v>DESC. INT. SOBRE PREST.</v>
      </c>
    </row>
    <row r="828" spans="1:18" x14ac:dyDescent="0.2">
      <c r="A828" s="1">
        <v>2</v>
      </c>
      <c r="B828" s="6" t="str">
        <f>VLOOKUP(A828,'ACTIVOS CODIGO'!A:B,2,0)</f>
        <v>PASIVO</v>
      </c>
      <c r="C828" s="2">
        <v>1</v>
      </c>
      <c r="D828" s="7" t="str">
        <f>VLOOKUP(C828,'ACTIVOS CODIGO'!H:I,2,0)</f>
        <v>PASIVO DEL TESORO = PASIVO CORRIENTE</v>
      </c>
      <c r="E828" s="3"/>
      <c r="F828" s="8"/>
      <c r="G828" s="10">
        <v>133</v>
      </c>
      <c r="H828" s="10" t="str">
        <f>VLOOKUP(G828,'PUB 21'!$A$1:$B$29,2,0)</f>
        <v>DEPOSITOS DE TERCEROS</v>
      </c>
      <c r="I828"/>
      <c r="J828" s="4"/>
      <c r="K828">
        <v>15</v>
      </c>
      <c r="L828" s="4" t="s">
        <v>547</v>
      </c>
      <c r="M828" s="27" t="str">
        <f t="shared" si="144"/>
        <v>2-1-0-13-30-15</v>
      </c>
      <c r="N828" s="27" t="str">
        <f t="shared" si="145"/>
        <v>OTROS DESCUENTOS</v>
      </c>
      <c r="O828" s="4">
        <f t="shared" si="146"/>
        <v>209</v>
      </c>
      <c r="P828" s="4" t="s">
        <v>825</v>
      </c>
      <c r="Q828" s="4" t="str">
        <f t="shared" si="143"/>
        <v>2-1-0-13-30-15-209</v>
      </c>
      <c r="R828" s="4" t="str">
        <f t="shared" si="147"/>
        <v>RETROACT. SERV. AMANECER</v>
      </c>
    </row>
    <row r="829" spans="1:18" x14ac:dyDescent="0.2">
      <c r="A829" s="1">
        <v>2</v>
      </c>
      <c r="B829" s="6" t="str">
        <f>VLOOKUP(A829,'ACTIVOS CODIGO'!A:B,2,0)</f>
        <v>PASIVO</v>
      </c>
      <c r="C829" s="2">
        <v>1</v>
      </c>
      <c r="D829" s="7" t="str">
        <f>VLOOKUP(C829,'ACTIVOS CODIGO'!H:I,2,0)</f>
        <v>PASIVO DEL TESORO = PASIVO CORRIENTE</v>
      </c>
      <c r="E829" s="3"/>
      <c r="F829" s="8"/>
      <c r="G829" s="10">
        <v>133</v>
      </c>
      <c r="H829" s="10" t="str">
        <f>VLOOKUP(G829,'PUB 21'!$A$1:$B$29,2,0)</f>
        <v>DEPOSITOS DE TERCEROS</v>
      </c>
      <c r="I829"/>
      <c r="J829" s="4"/>
      <c r="K829">
        <v>15</v>
      </c>
      <c r="L829" s="4" t="s">
        <v>547</v>
      </c>
      <c r="M829" s="27" t="str">
        <f t="shared" si="144"/>
        <v>2-1-0-13-30-15</v>
      </c>
      <c r="N829" s="27" t="str">
        <f t="shared" si="145"/>
        <v>OTROS DESCUENTOS</v>
      </c>
      <c r="O829" s="4">
        <f t="shared" si="146"/>
        <v>210</v>
      </c>
      <c r="P829" s="4" t="s">
        <v>826</v>
      </c>
      <c r="Q829" s="4" t="str">
        <f t="shared" si="143"/>
        <v>2-1-0-13-30-15-210</v>
      </c>
      <c r="R829" s="4" t="str">
        <f t="shared" si="147"/>
        <v>DESCUENTOS PRODUCTOS</v>
      </c>
    </row>
    <row r="830" spans="1:18" x14ac:dyDescent="0.2">
      <c r="A830" s="1">
        <v>2</v>
      </c>
      <c r="B830" s="6" t="str">
        <f>VLOOKUP(A830,'ACTIVOS CODIGO'!A:B,2,0)</f>
        <v>PASIVO</v>
      </c>
      <c r="C830" s="2">
        <v>1</v>
      </c>
      <c r="D830" s="7" t="str">
        <f>VLOOKUP(C830,'ACTIVOS CODIGO'!H:I,2,0)</f>
        <v>PASIVO DEL TESORO = PASIVO CORRIENTE</v>
      </c>
      <c r="E830" s="3"/>
      <c r="F830" s="8"/>
      <c r="G830" s="10">
        <v>133</v>
      </c>
      <c r="H830" s="10" t="str">
        <f>VLOOKUP(G830,'PUB 21'!$A$1:$B$29,2,0)</f>
        <v>DEPOSITOS DE TERCEROS</v>
      </c>
      <c r="I830"/>
      <c r="J830" s="4"/>
      <c r="K830">
        <v>15</v>
      </c>
      <c r="L830" s="4" t="s">
        <v>547</v>
      </c>
      <c r="M830" s="27" t="str">
        <f t="shared" si="144"/>
        <v>2-1-0-13-30-15</v>
      </c>
      <c r="N830" s="27" t="str">
        <f t="shared" si="145"/>
        <v>OTROS DESCUENTOS</v>
      </c>
      <c r="O830" s="4">
        <f t="shared" si="146"/>
        <v>211</v>
      </c>
      <c r="P830" s="4" t="s">
        <v>827</v>
      </c>
      <c r="Q830" s="4" t="str">
        <f t="shared" si="143"/>
        <v>2-1-0-13-30-15-211</v>
      </c>
      <c r="R830" s="4" t="str">
        <f t="shared" si="147"/>
        <v>DEPOSITOS DE TERCEROS ALTO NIVEL</v>
      </c>
    </row>
    <row r="831" spans="1:18" x14ac:dyDescent="0.2">
      <c r="A831" s="1">
        <v>2</v>
      </c>
      <c r="B831" s="6" t="str">
        <f>VLOOKUP(A831,'ACTIVOS CODIGO'!A:B,2,0)</f>
        <v>PASIVO</v>
      </c>
      <c r="C831" s="2">
        <v>1</v>
      </c>
      <c r="D831" s="7" t="str">
        <f>VLOOKUP(C831,'ACTIVOS CODIGO'!H:I,2,0)</f>
        <v>PASIVO DEL TESORO = PASIVO CORRIENTE</v>
      </c>
      <c r="E831" s="3"/>
      <c r="F831" s="8"/>
      <c r="G831" s="10">
        <v>133</v>
      </c>
      <c r="H831" s="10" t="str">
        <f>VLOOKUP(G831,'PUB 21'!$A$1:$B$29,2,0)</f>
        <v>DEPOSITOS DE TERCEROS</v>
      </c>
      <c r="I831"/>
      <c r="J831" s="4"/>
      <c r="K831">
        <v>15</v>
      </c>
      <c r="L831" s="4" t="s">
        <v>547</v>
      </c>
      <c r="M831" s="27" t="str">
        <f t="shared" si="144"/>
        <v>2-1-0-13-30-15</v>
      </c>
      <c r="N831" s="27" t="str">
        <f t="shared" si="145"/>
        <v>OTROS DESCUENTOS</v>
      </c>
      <c r="O831" s="4">
        <f t="shared" si="146"/>
        <v>212</v>
      </c>
      <c r="P831" s="4" t="s">
        <v>828</v>
      </c>
      <c r="Q831" s="4" t="str">
        <f t="shared" si="143"/>
        <v>2-1-0-13-30-15-212</v>
      </c>
      <c r="R831" s="4" t="str">
        <f t="shared" si="147"/>
        <v>REINT. PAGO INB. DIF.SUELDO</v>
      </c>
    </row>
    <row r="832" spans="1:18" x14ac:dyDescent="0.2">
      <c r="A832" s="1">
        <v>2</v>
      </c>
      <c r="B832" s="6" t="str">
        <f>VLOOKUP(A832,'ACTIVOS CODIGO'!A:B,2,0)</f>
        <v>PASIVO</v>
      </c>
      <c r="C832" s="2">
        <v>1</v>
      </c>
      <c r="D832" s="7" t="str">
        <f>VLOOKUP(C832,'ACTIVOS CODIGO'!H:I,2,0)</f>
        <v>PASIVO DEL TESORO = PASIVO CORRIENTE</v>
      </c>
      <c r="E832" s="3"/>
      <c r="F832" s="8"/>
      <c r="G832" s="10">
        <v>133</v>
      </c>
      <c r="H832" s="10" t="str">
        <f>VLOOKUP(G832,'PUB 21'!$A$1:$B$29,2,0)</f>
        <v>DEPOSITOS DE TERCEROS</v>
      </c>
      <c r="I832"/>
      <c r="J832" s="4"/>
      <c r="K832">
        <v>15</v>
      </c>
      <c r="L832" s="4" t="s">
        <v>547</v>
      </c>
      <c r="M832" s="27" t="str">
        <f t="shared" si="144"/>
        <v>2-1-0-13-30-15</v>
      </c>
      <c r="N832" s="27" t="str">
        <f t="shared" si="145"/>
        <v>OTROS DESCUENTOS</v>
      </c>
      <c r="O832" s="4">
        <f t="shared" si="146"/>
        <v>213</v>
      </c>
      <c r="P832" s="4" t="s">
        <v>829</v>
      </c>
      <c r="Q832" s="4" t="str">
        <f t="shared" si="143"/>
        <v>2-1-0-13-30-15-213</v>
      </c>
      <c r="R832" s="4" t="str">
        <f t="shared" si="147"/>
        <v>REINT. PAGO IND. DIF. SUELDO</v>
      </c>
    </row>
    <row r="833" spans="1:18" x14ac:dyDescent="0.2">
      <c r="A833" s="1">
        <v>2</v>
      </c>
      <c r="B833" s="6" t="str">
        <f>VLOOKUP(A833,'ACTIVOS CODIGO'!A:B,2,0)</f>
        <v>PASIVO</v>
      </c>
      <c r="C833" s="2">
        <v>1</v>
      </c>
      <c r="D833" s="7" t="str">
        <f>VLOOKUP(C833,'ACTIVOS CODIGO'!H:I,2,0)</f>
        <v>PASIVO DEL TESORO = PASIVO CORRIENTE</v>
      </c>
      <c r="E833" s="3"/>
      <c r="F833" s="8"/>
      <c r="G833" s="10">
        <v>133</v>
      </c>
      <c r="H833" s="10" t="str">
        <f>VLOOKUP(G833,'PUB 21'!$A$1:$B$29,2,0)</f>
        <v>DEPOSITOS DE TERCEROS</v>
      </c>
      <c r="I833"/>
      <c r="J833" s="4"/>
      <c r="K833">
        <v>15</v>
      </c>
      <c r="L833" s="4" t="s">
        <v>547</v>
      </c>
      <c r="M833" s="27" t="str">
        <f t="shared" si="144"/>
        <v>2-1-0-13-30-15</v>
      </c>
      <c r="N833" s="27" t="str">
        <f t="shared" si="145"/>
        <v>OTROS DESCUENTOS</v>
      </c>
      <c r="O833" s="4">
        <f t="shared" si="146"/>
        <v>214</v>
      </c>
      <c r="P833" s="4" t="s">
        <v>830</v>
      </c>
      <c r="Q833" s="4" t="str">
        <f t="shared" si="143"/>
        <v>2-1-0-13-30-15-214</v>
      </c>
      <c r="R833" s="4" t="str">
        <f t="shared" si="147"/>
        <v>REINT. PAGO INDEB. DIF. SUELDO</v>
      </c>
    </row>
    <row r="834" spans="1:18" x14ac:dyDescent="0.2">
      <c r="A834" s="1">
        <v>2</v>
      </c>
      <c r="B834" s="6" t="str">
        <f>VLOOKUP(A834,'ACTIVOS CODIGO'!A:B,2,0)</f>
        <v>PASIVO</v>
      </c>
      <c r="C834" s="2">
        <v>1</v>
      </c>
      <c r="D834" s="7" t="str">
        <f>VLOOKUP(C834,'ACTIVOS CODIGO'!H:I,2,0)</f>
        <v>PASIVO DEL TESORO = PASIVO CORRIENTE</v>
      </c>
      <c r="E834" s="3"/>
      <c r="F834" s="8"/>
      <c r="G834" s="10">
        <v>133</v>
      </c>
      <c r="H834" s="10" t="str">
        <f>VLOOKUP(G834,'PUB 21'!$A$1:$B$29,2,0)</f>
        <v>DEPOSITOS DE TERCEROS</v>
      </c>
      <c r="I834"/>
      <c r="J834" s="4"/>
      <c r="K834">
        <v>15</v>
      </c>
      <c r="L834" s="4" t="s">
        <v>547</v>
      </c>
      <c r="M834" s="27" t="str">
        <f t="shared" si="144"/>
        <v>2-1-0-13-30-15</v>
      </c>
      <c r="N834" s="27" t="str">
        <f t="shared" si="145"/>
        <v>OTROS DESCUENTOS</v>
      </c>
      <c r="O834" s="4">
        <f t="shared" si="146"/>
        <v>215</v>
      </c>
      <c r="P834" s="4" t="s">
        <v>831</v>
      </c>
      <c r="Q834" s="4" t="str">
        <f t="shared" si="143"/>
        <v>2-1-0-13-30-15-215</v>
      </c>
      <c r="R834" s="4" t="str">
        <f t="shared" si="147"/>
        <v>REINT. COBRO INDEB. DIF. SUELDO</v>
      </c>
    </row>
    <row r="835" spans="1:18" x14ac:dyDescent="0.2">
      <c r="A835" s="1">
        <v>2</v>
      </c>
      <c r="B835" s="6" t="str">
        <f>VLOOKUP(A835,'ACTIVOS CODIGO'!A:B,2,0)</f>
        <v>PASIVO</v>
      </c>
      <c r="C835" s="2">
        <v>1</v>
      </c>
      <c r="D835" s="7" t="str">
        <f>VLOOKUP(C835,'ACTIVOS CODIGO'!H:I,2,0)</f>
        <v>PASIVO DEL TESORO = PASIVO CORRIENTE</v>
      </c>
      <c r="E835" s="3"/>
      <c r="F835" s="8"/>
      <c r="G835" s="10">
        <v>133</v>
      </c>
      <c r="H835" s="10" t="str">
        <f>VLOOKUP(G835,'PUB 21'!$A$1:$B$29,2,0)</f>
        <v>DEPOSITOS DE TERCEROS</v>
      </c>
      <c r="I835"/>
      <c r="J835" s="4"/>
      <c r="K835">
        <v>15</v>
      </c>
      <c r="L835" s="4" t="s">
        <v>547</v>
      </c>
      <c r="M835" s="27" t="str">
        <f t="shared" si="144"/>
        <v>2-1-0-13-30-15</v>
      </c>
      <c r="N835" s="27" t="str">
        <f t="shared" si="145"/>
        <v>OTROS DESCUENTOS</v>
      </c>
      <c r="O835" s="4">
        <f t="shared" si="146"/>
        <v>216</v>
      </c>
      <c r="P835" s="4" t="s">
        <v>832</v>
      </c>
      <c r="Q835" s="4" t="str">
        <f t="shared" si="143"/>
        <v>2-1-0-13-30-15-216</v>
      </c>
      <c r="R835" s="4" t="str">
        <f t="shared" si="147"/>
        <v>REINT. PAGO INDEB. AYUDA HIJO</v>
      </c>
    </row>
    <row r="836" spans="1:18" x14ac:dyDescent="0.2">
      <c r="A836" s="1">
        <v>2</v>
      </c>
      <c r="B836" s="6" t="str">
        <f>VLOOKUP(A836,'ACTIVOS CODIGO'!A:B,2,0)</f>
        <v>PASIVO</v>
      </c>
      <c r="C836" s="2">
        <v>1</v>
      </c>
      <c r="D836" s="7" t="str">
        <f>VLOOKUP(C836,'ACTIVOS CODIGO'!H:I,2,0)</f>
        <v>PASIVO DEL TESORO = PASIVO CORRIENTE</v>
      </c>
      <c r="E836" s="3"/>
      <c r="F836" s="8"/>
      <c r="G836" s="10">
        <v>133</v>
      </c>
      <c r="H836" s="10" t="str">
        <f>VLOOKUP(G836,'PUB 21'!$A$1:$B$29,2,0)</f>
        <v>DEPOSITOS DE TERCEROS</v>
      </c>
      <c r="I836"/>
      <c r="J836" s="4"/>
      <c r="K836">
        <v>15</v>
      </c>
      <c r="L836" s="4" t="s">
        <v>547</v>
      </c>
      <c r="M836" s="27" t="str">
        <f t="shared" si="144"/>
        <v>2-1-0-13-30-15</v>
      </c>
      <c r="N836" s="27" t="str">
        <f t="shared" si="145"/>
        <v>OTROS DESCUENTOS</v>
      </c>
      <c r="O836" s="4">
        <f t="shared" si="146"/>
        <v>217</v>
      </c>
      <c r="P836" s="4" t="s">
        <v>833</v>
      </c>
      <c r="Q836" s="4" t="str">
        <f t="shared" si="143"/>
        <v>2-1-0-13-30-15-217</v>
      </c>
      <c r="R836" s="4" t="str">
        <f t="shared" si="147"/>
        <v>DCTO DIAS REPOSOS</v>
      </c>
    </row>
    <row r="837" spans="1:18" x14ac:dyDescent="0.2">
      <c r="A837" s="1">
        <v>2</v>
      </c>
      <c r="B837" s="6" t="str">
        <f>VLOOKUP(A837,'ACTIVOS CODIGO'!A:B,2,0)</f>
        <v>PASIVO</v>
      </c>
      <c r="C837" s="2">
        <v>1</v>
      </c>
      <c r="D837" s="7" t="str">
        <f>VLOOKUP(C837,'ACTIVOS CODIGO'!H:I,2,0)</f>
        <v>PASIVO DEL TESORO = PASIVO CORRIENTE</v>
      </c>
      <c r="E837" s="3"/>
      <c r="F837" s="8"/>
      <c r="G837" s="10">
        <v>133</v>
      </c>
      <c r="H837" s="10" t="str">
        <f>VLOOKUP(G837,'PUB 21'!$A$1:$B$29,2,0)</f>
        <v>DEPOSITOS DE TERCEROS</v>
      </c>
      <c r="I837"/>
      <c r="J837" s="4"/>
      <c r="K837">
        <v>15</v>
      </c>
      <c r="L837" s="4" t="s">
        <v>547</v>
      </c>
      <c r="M837" s="27" t="str">
        <f t="shared" si="144"/>
        <v>2-1-0-13-30-15</v>
      </c>
      <c r="N837" s="27" t="str">
        <f t="shared" si="145"/>
        <v>OTROS DESCUENTOS</v>
      </c>
      <c r="O837" s="4">
        <f t="shared" si="146"/>
        <v>218</v>
      </c>
      <c r="P837" s="4" t="s">
        <v>834</v>
      </c>
      <c r="Q837" s="4" t="str">
        <f t="shared" si="143"/>
        <v>2-1-0-13-30-15-218</v>
      </c>
      <c r="R837" s="4" t="str">
        <f t="shared" si="147"/>
        <v>AML INASISTENCIA INJUSTIF. EMP.</v>
      </c>
    </row>
    <row r="838" spans="1:18" x14ac:dyDescent="0.2">
      <c r="A838" s="1">
        <v>2</v>
      </c>
      <c r="B838" s="6" t="str">
        <f>VLOOKUP(A838,'ACTIVOS CODIGO'!A:B,2,0)</f>
        <v>PASIVO</v>
      </c>
      <c r="C838" s="2">
        <v>1</v>
      </c>
      <c r="D838" s="7" t="str">
        <f>VLOOKUP(C838,'ACTIVOS CODIGO'!H:I,2,0)</f>
        <v>PASIVO DEL TESORO = PASIVO CORRIENTE</v>
      </c>
      <c r="E838" s="3"/>
      <c r="F838" s="8"/>
      <c r="G838" s="10">
        <v>133</v>
      </c>
      <c r="H838" s="10" t="str">
        <f>VLOOKUP(G838,'PUB 21'!$A$1:$B$29,2,0)</f>
        <v>DEPOSITOS DE TERCEROS</v>
      </c>
      <c r="I838"/>
      <c r="J838" s="4"/>
      <c r="K838">
        <v>15</v>
      </c>
      <c r="L838" s="4" t="s">
        <v>547</v>
      </c>
      <c r="M838" s="27" t="str">
        <f t="shared" si="144"/>
        <v>2-1-0-13-30-15</v>
      </c>
      <c r="N838" s="27" t="str">
        <f t="shared" si="145"/>
        <v>OTROS DESCUENTOS</v>
      </c>
      <c r="O838" s="4">
        <f t="shared" si="146"/>
        <v>219</v>
      </c>
      <c r="P838" s="4" t="s">
        <v>835</v>
      </c>
      <c r="Q838" s="4" t="str">
        <f t="shared" si="143"/>
        <v>2-1-0-13-30-15-219</v>
      </c>
      <c r="R838" s="4" t="str">
        <f t="shared" si="147"/>
        <v>REINT. PAGO INDEB. POST GRADO</v>
      </c>
    </row>
    <row r="839" spans="1:18" x14ac:dyDescent="0.2">
      <c r="A839" s="1">
        <v>2</v>
      </c>
      <c r="B839" s="6" t="str">
        <f>VLOOKUP(A839,'ACTIVOS CODIGO'!A:B,2,0)</f>
        <v>PASIVO</v>
      </c>
      <c r="C839" s="2">
        <v>1</v>
      </c>
      <c r="D839" s="7" t="str">
        <f>VLOOKUP(C839,'ACTIVOS CODIGO'!H:I,2,0)</f>
        <v>PASIVO DEL TESORO = PASIVO CORRIENTE</v>
      </c>
      <c r="E839" s="3"/>
      <c r="F839" s="8"/>
      <c r="G839" s="10">
        <v>133</v>
      </c>
      <c r="H839" s="10" t="str">
        <f>VLOOKUP(G839,'PUB 21'!$A$1:$B$29,2,0)</f>
        <v>DEPOSITOS DE TERCEROS</v>
      </c>
      <c r="I839"/>
      <c r="J839" s="4"/>
      <c r="K839">
        <v>15</v>
      </c>
      <c r="L839" s="4" t="s">
        <v>547</v>
      </c>
      <c r="M839" s="27" t="str">
        <f t="shared" si="144"/>
        <v>2-1-0-13-30-15</v>
      </c>
      <c r="N839" s="27" t="str">
        <f t="shared" si="145"/>
        <v>OTROS DESCUENTOS</v>
      </c>
      <c r="O839" s="4">
        <f t="shared" si="146"/>
        <v>220</v>
      </c>
      <c r="P839" s="4" t="s">
        <v>836</v>
      </c>
      <c r="Q839" s="4" t="str">
        <f t="shared" si="143"/>
        <v>2-1-0-13-30-15-220</v>
      </c>
      <c r="R839" s="4" t="str">
        <f t="shared" si="147"/>
        <v>REINT. DIF. SALARIO MINIMO AMBL</v>
      </c>
    </row>
    <row r="840" spans="1:18" x14ac:dyDescent="0.2">
      <c r="A840" s="1">
        <v>2</v>
      </c>
      <c r="B840" s="6" t="str">
        <f>VLOOKUP(A840,'ACTIVOS CODIGO'!A:B,2,0)</f>
        <v>PASIVO</v>
      </c>
      <c r="C840" s="2">
        <v>1</v>
      </c>
      <c r="D840" s="7" t="str">
        <f>VLOOKUP(C840,'ACTIVOS CODIGO'!H:I,2,0)</f>
        <v>PASIVO DEL TESORO = PASIVO CORRIENTE</v>
      </c>
      <c r="E840" s="3"/>
      <c r="F840" s="8"/>
      <c r="G840" s="10">
        <v>133</v>
      </c>
      <c r="H840" s="10" t="str">
        <f>VLOOKUP(G840,'PUB 21'!$A$1:$B$29,2,0)</f>
        <v>DEPOSITOS DE TERCEROS</v>
      </c>
      <c r="I840"/>
      <c r="J840" s="4"/>
      <c r="K840">
        <v>15</v>
      </c>
      <c r="L840" s="4" t="s">
        <v>547</v>
      </c>
      <c r="M840" s="27" t="str">
        <f t="shared" si="144"/>
        <v>2-1-0-13-30-15</v>
      </c>
      <c r="N840" s="27" t="str">
        <f t="shared" si="145"/>
        <v>OTROS DESCUENTOS</v>
      </c>
      <c r="O840" s="4">
        <f t="shared" si="146"/>
        <v>221</v>
      </c>
      <c r="P840" s="4" t="s">
        <v>837</v>
      </c>
      <c r="Q840" s="4" t="str">
        <f t="shared" si="143"/>
        <v>2-1-0-13-30-15-221</v>
      </c>
      <c r="R840" s="4" t="str">
        <f t="shared" si="147"/>
        <v>REINT. PAGO INDEB. COMPENSACION</v>
      </c>
    </row>
    <row r="841" spans="1:18" x14ac:dyDescent="0.2">
      <c r="A841" s="1">
        <v>2</v>
      </c>
      <c r="B841" s="6" t="str">
        <f>VLOOKUP(A841,'ACTIVOS CODIGO'!A:B,2,0)</f>
        <v>PASIVO</v>
      </c>
      <c r="C841" s="2">
        <v>1</v>
      </c>
      <c r="D841" s="7" t="str">
        <f>VLOOKUP(C841,'ACTIVOS CODIGO'!H:I,2,0)</f>
        <v>PASIVO DEL TESORO = PASIVO CORRIENTE</v>
      </c>
      <c r="E841" s="3"/>
      <c r="F841" s="8"/>
      <c r="G841" s="10">
        <v>133</v>
      </c>
      <c r="H841" s="10" t="str">
        <f>VLOOKUP(G841,'PUB 21'!$A$1:$B$29,2,0)</f>
        <v>DEPOSITOS DE TERCEROS</v>
      </c>
      <c r="I841"/>
      <c r="J841" s="4"/>
      <c r="K841">
        <v>15</v>
      </c>
      <c r="L841" s="4" t="s">
        <v>547</v>
      </c>
      <c r="M841" s="27" t="str">
        <f t="shared" si="144"/>
        <v>2-1-0-13-30-15</v>
      </c>
      <c r="N841" s="27" t="str">
        <f t="shared" si="145"/>
        <v>OTROS DESCUENTOS</v>
      </c>
      <c r="O841" s="4">
        <f t="shared" si="146"/>
        <v>222</v>
      </c>
      <c r="P841" s="4" t="s">
        <v>838</v>
      </c>
      <c r="Q841" s="4" t="str">
        <f t="shared" si="143"/>
        <v>2-1-0-13-30-15-222</v>
      </c>
      <c r="R841" s="4" t="str">
        <f t="shared" si="147"/>
        <v>REINT. PAGO INDEB. COMO ALTO NIVEL</v>
      </c>
    </row>
    <row r="842" spans="1:18" x14ac:dyDescent="0.2">
      <c r="A842" s="1">
        <v>2</v>
      </c>
      <c r="B842" s="6" t="str">
        <f>VLOOKUP(A842,'ACTIVOS CODIGO'!A:B,2,0)</f>
        <v>PASIVO</v>
      </c>
      <c r="C842" s="2">
        <v>1</v>
      </c>
      <c r="D842" s="7" t="str">
        <f>VLOOKUP(C842,'ACTIVOS CODIGO'!H:I,2,0)</f>
        <v>PASIVO DEL TESORO = PASIVO CORRIENTE</v>
      </c>
      <c r="E842" s="3"/>
      <c r="F842" s="8"/>
      <c r="G842" s="10">
        <v>133</v>
      </c>
      <c r="H842" s="10" t="str">
        <f>VLOOKUP(G842,'PUB 21'!$A$1:$B$29,2,0)</f>
        <v>DEPOSITOS DE TERCEROS</v>
      </c>
      <c r="I842"/>
      <c r="J842" s="4"/>
      <c r="K842">
        <v>15</v>
      </c>
      <c r="L842" s="4" t="s">
        <v>547</v>
      </c>
      <c r="M842" s="27" t="str">
        <f t="shared" si="144"/>
        <v>2-1-0-13-30-15</v>
      </c>
      <c r="N842" s="27" t="str">
        <f t="shared" si="145"/>
        <v>OTROS DESCUENTOS</v>
      </c>
      <c r="O842" s="4">
        <f t="shared" si="146"/>
        <v>223</v>
      </c>
      <c r="P842" s="4" t="s">
        <v>839</v>
      </c>
      <c r="Q842" s="4" t="str">
        <f t="shared" si="143"/>
        <v>2-1-0-13-30-15-223</v>
      </c>
      <c r="R842" s="4" t="str">
        <f t="shared" si="147"/>
        <v>REINT. DESC. SUELDO POR COMISION</v>
      </c>
    </row>
    <row r="843" spans="1:18" x14ac:dyDescent="0.2">
      <c r="A843" s="1">
        <v>2</v>
      </c>
      <c r="B843" s="6" t="str">
        <f>VLOOKUP(A843,'ACTIVOS CODIGO'!A:B,2,0)</f>
        <v>PASIVO</v>
      </c>
      <c r="C843" s="2">
        <v>1</v>
      </c>
      <c r="D843" s="7" t="str">
        <f>VLOOKUP(C843,'ACTIVOS CODIGO'!H:I,2,0)</f>
        <v>PASIVO DEL TESORO = PASIVO CORRIENTE</v>
      </c>
      <c r="E843" s="3"/>
      <c r="F843" s="8"/>
      <c r="G843" s="10">
        <v>133</v>
      </c>
      <c r="H843" s="10" t="str">
        <f>VLOOKUP(G843,'PUB 21'!$A$1:$B$29,2,0)</f>
        <v>DEPOSITOS DE TERCEROS</v>
      </c>
      <c r="I843"/>
      <c r="J843" s="4"/>
      <c r="K843">
        <v>15</v>
      </c>
      <c r="L843" s="4" t="s">
        <v>547</v>
      </c>
      <c r="M843" s="27" t="str">
        <f t="shared" si="144"/>
        <v>2-1-0-13-30-15</v>
      </c>
      <c r="N843" s="27" t="str">
        <f t="shared" si="145"/>
        <v>OTROS DESCUENTOS</v>
      </c>
      <c r="O843" s="4">
        <f t="shared" si="146"/>
        <v>224</v>
      </c>
      <c r="P843" s="4" t="s">
        <v>840</v>
      </c>
      <c r="Q843" s="4" t="str">
        <f t="shared" si="143"/>
        <v>2-1-0-13-30-15-224</v>
      </c>
      <c r="R843" s="4" t="str">
        <f t="shared" si="147"/>
        <v>DCTO. SUELDO POR COMISION PERS.</v>
      </c>
    </row>
    <row r="844" spans="1:18" x14ac:dyDescent="0.2">
      <c r="A844" s="1">
        <v>2</v>
      </c>
      <c r="B844" s="6" t="str">
        <f>VLOOKUP(A844,'ACTIVOS CODIGO'!A:B,2,0)</f>
        <v>PASIVO</v>
      </c>
      <c r="C844" s="2">
        <v>1</v>
      </c>
      <c r="D844" s="7" t="str">
        <f>VLOOKUP(C844,'ACTIVOS CODIGO'!H:I,2,0)</f>
        <v>PASIVO DEL TESORO = PASIVO CORRIENTE</v>
      </c>
      <c r="E844" s="3"/>
      <c r="F844" s="8"/>
      <c r="G844" s="10">
        <v>133</v>
      </c>
      <c r="H844" s="10" t="str">
        <f>VLOOKUP(G844,'PUB 21'!$A$1:$B$29,2,0)</f>
        <v>DEPOSITOS DE TERCEROS</v>
      </c>
      <c r="I844"/>
      <c r="J844" s="4"/>
      <c r="K844">
        <v>15</v>
      </c>
      <c r="L844" s="4" t="s">
        <v>547</v>
      </c>
      <c r="M844" s="27" t="str">
        <f t="shared" si="144"/>
        <v>2-1-0-13-30-15</v>
      </c>
      <c r="N844" s="27" t="str">
        <f t="shared" si="145"/>
        <v>OTROS DESCUENTOS</v>
      </c>
      <c r="O844" s="4">
        <f t="shared" si="146"/>
        <v>225</v>
      </c>
      <c r="P844" s="4" t="s">
        <v>841</v>
      </c>
      <c r="Q844" s="4" t="str">
        <f t="shared" si="143"/>
        <v>2-1-0-13-30-15-225</v>
      </c>
      <c r="R844" s="4" t="str">
        <f t="shared" si="147"/>
        <v>REINTEGRO COBRO INDEBIDO</v>
      </c>
    </row>
    <row r="845" spans="1:18" x14ac:dyDescent="0.2">
      <c r="A845" s="1">
        <v>2</v>
      </c>
      <c r="B845" s="6" t="str">
        <f>VLOOKUP(A845,'ACTIVOS CODIGO'!A:B,2,0)</f>
        <v>PASIVO</v>
      </c>
      <c r="C845" s="2">
        <v>1</v>
      </c>
      <c r="D845" s="7" t="str">
        <f>VLOOKUP(C845,'ACTIVOS CODIGO'!H:I,2,0)</f>
        <v>PASIVO DEL TESORO = PASIVO CORRIENTE</v>
      </c>
      <c r="E845" s="3"/>
      <c r="F845" s="8"/>
      <c r="G845" s="10">
        <v>133</v>
      </c>
      <c r="H845" s="10" t="str">
        <f>VLOOKUP(G845,'PUB 21'!$A$1:$B$29,2,0)</f>
        <v>DEPOSITOS DE TERCEROS</v>
      </c>
      <c r="I845"/>
      <c r="J845" s="4"/>
      <c r="K845">
        <v>15</v>
      </c>
      <c r="L845" s="4" t="s">
        <v>547</v>
      </c>
      <c r="M845" s="27" t="str">
        <f t="shared" si="144"/>
        <v>2-1-0-13-30-15</v>
      </c>
      <c r="N845" s="27" t="str">
        <f t="shared" si="145"/>
        <v>OTROS DESCUENTOS</v>
      </c>
      <c r="O845" s="4">
        <f t="shared" si="146"/>
        <v>226</v>
      </c>
      <c r="P845" s="4" t="s">
        <v>842</v>
      </c>
      <c r="Q845" s="4" t="str">
        <f t="shared" si="143"/>
        <v>2-1-0-13-30-15-226</v>
      </c>
      <c r="R845" s="4" t="str">
        <f t="shared" si="147"/>
        <v>REINT. COBRO INBEB. AGUINALDOS</v>
      </c>
    </row>
    <row r="846" spans="1:18" x14ac:dyDescent="0.2">
      <c r="A846" s="1">
        <v>2</v>
      </c>
      <c r="B846" s="6" t="str">
        <f>VLOOKUP(A846,'ACTIVOS CODIGO'!A:B,2,0)</f>
        <v>PASIVO</v>
      </c>
      <c r="C846" s="2">
        <v>1</v>
      </c>
      <c r="D846" s="7" t="str">
        <f>VLOOKUP(C846,'ACTIVOS CODIGO'!H:I,2,0)</f>
        <v>PASIVO DEL TESORO = PASIVO CORRIENTE</v>
      </c>
      <c r="E846" s="3"/>
      <c r="F846" s="8"/>
      <c r="G846" s="10">
        <v>133</v>
      </c>
      <c r="H846" s="10" t="str">
        <f>VLOOKUP(G846,'PUB 21'!$A$1:$B$29,2,0)</f>
        <v>DEPOSITOS DE TERCEROS</v>
      </c>
      <c r="I846"/>
      <c r="J846" s="4"/>
      <c r="K846">
        <v>15</v>
      </c>
      <c r="L846" s="4" t="s">
        <v>547</v>
      </c>
      <c r="M846" s="27" t="str">
        <f t="shared" si="144"/>
        <v>2-1-0-13-30-15</v>
      </c>
      <c r="N846" s="27" t="str">
        <f t="shared" si="145"/>
        <v>OTROS DESCUENTOS</v>
      </c>
      <c r="O846" s="4">
        <f t="shared" si="146"/>
        <v>227</v>
      </c>
      <c r="P846" s="4" t="s">
        <v>843</v>
      </c>
      <c r="Q846" s="4" t="str">
        <f t="shared" si="143"/>
        <v>2-1-0-13-30-15-227</v>
      </c>
      <c r="R846" s="4" t="str">
        <f t="shared" si="147"/>
        <v>REINT. COBRO INDEBIDO AUMENTO</v>
      </c>
    </row>
    <row r="847" spans="1:18" x14ac:dyDescent="0.2">
      <c r="A847" s="1">
        <v>2</v>
      </c>
      <c r="B847" s="6" t="str">
        <f>VLOOKUP(A847,'ACTIVOS CODIGO'!A:B,2,0)</f>
        <v>PASIVO</v>
      </c>
      <c r="C847" s="2">
        <v>1</v>
      </c>
      <c r="D847" s="7" t="str">
        <f>VLOOKUP(C847,'ACTIVOS CODIGO'!H:I,2,0)</f>
        <v>PASIVO DEL TESORO = PASIVO CORRIENTE</v>
      </c>
      <c r="E847" s="3"/>
      <c r="F847" s="8"/>
      <c r="G847" s="10">
        <v>133</v>
      </c>
      <c r="H847" s="10" t="str">
        <f>VLOOKUP(G847,'PUB 21'!$A$1:$B$29,2,0)</f>
        <v>DEPOSITOS DE TERCEROS</v>
      </c>
      <c r="I847"/>
      <c r="J847" s="4"/>
      <c r="K847">
        <v>15</v>
      </c>
      <c r="L847" s="4" t="s">
        <v>547</v>
      </c>
      <c r="M847" s="27" t="str">
        <f t="shared" si="144"/>
        <v>2-1-0-13-30-15</v>
      </c>
      <c r="N847" s="27" t="str">
        <f t="shared" si="145"/>
        <v>OTROS DESCUENTOS</v>
      </c>
      <c r="O847" s="4">
        <f t="shared" si="146"/>
        <v>228</v>
      </c>
      <c r="P847" s="4" t="s">
        <v>844</v>
      </c>
      <c r="Q847" s="4" t="str">
        <f t="shared" si="143"/>
        <v>2-1-0-13-30-15-228</v>
      </c>
      <c r="R847" s="4" t="str">
        <f t="shared" si="147"/>
        <v>REINT. AUMT. MAYO ALTO NIVEL</v>
      </c>
    </row>
    <row r="848" spans="1:18" x14ac:dyDescent="0.2">
      <c r="A848" s="1">
        <v>2</v>
      </c>
      <c r="B848" s="6" t="str">
        <f>VLOOKUP(A848,'ACTIVOS CODIGO'!A:B,2,0)</f>
        <v>PASIVO</v>
      </c>
      <c r="C848" s="2">
        <v>1</v>
      </c>
      <c r="D848" s="7" t="str">
        <f>VLOOKUP(C848,'ACTIVOS CODIGO'!H:I,2,0)</f>
        <v>PASIVO DEL TESORO = PASIVO CORRIENTE</v>
      </c>
      <c r="E848" s="3"/>
      <c r="F848" s="8"/>
      <c r="G848" s="10">
        <v>133</v>
      </c>
      <c r="H848" s="10" t="str">
        <f>VLOOKUP(G848,'PUB 21'!$A$1:$B$29,2,0)</f>
        <v>DEPOSITOS DE TERCEROS</v>
      </c>
      <c r="I848"/>
      <c r="J848" s="4"/>
      <c r="K848">
        <v>15</v>
      </c>
      <c r="L848" s="4" t="s">
        <v>547</v>
      </c>
      <c r="M848" s="27" t="str">
        <f t="shared" si="144"/>
        <v>2-1-0-13-30-15</v>
      </c>
      <c r="N848" s="27" t="str">
        <f t="shared" si="145"/>
        <v>OTROS DESCUENTOS</v>
      </c>
      <c r="O848" s="4">
        <f t="shared" si="146"/>
        <v>229</v>
      </c>
      <c r="P848" s="4" t="s">
        <v>845</v>
      </c>
      <c r="Q848" s="4" t="str">
        <f t="shared" si="143"/>
        <v>2-1-0-13-30-15-229</v>
      </c>
      <c r="R848" s="4" t="str">
        <f t="shared" si="147"/>
        <v>REINT. AUMT. JULIO ALTO NIVEL</v>
      </c>
    </row>
    <row r="849" spans="1:18" x14ac:dyDescent="0.2">
      <c r="A849" s="1">
        <v>2</v>
      </c>
      <c r="B849" s="6" t="str">
        <f>VLOOKUP(A849,'ACTIVOS CODIGO'!A:B,2,0)</f>
        <v>PASIVO</v>
      </c>
      <c r="C849" s="2">
        <v>1</v>
      </c>
      <c r="D849" s="7" t="str">
        <f>VLOOKUP(C849,'ACTIVOS CODIGO'!H:I,2,0)</f>
        <v>PASIVO DEL TESORO = PASIVO CORRIENTE</v>
      </c>
      <c r="E849" s="3"/>
      <c r="F849" s="8"/>
      <c r="G849" s="10">
        <v>133</v>
      </c>
      <c r="H849" s="10" t="str">
        <f>VLOOKUP(G849,'PUB 21'!$A$1:$B$29,2,0)</f>
        <v>DEPOSITOS DE TERCEROS</v>
      </c>
      <c r="I849"/>
      <c r="J849" s="4"/>
      <c r="K849">
        <v>15</v>
      </c>
      <c r="L849" s="4" t="s">
        <v>547</v>
      </c>
      <c r="M849" s="27" t="str">
        <f t="shared" si="144"/>
        <v>2-1-0-13-30-15</v>
      </c>
      <c r="N849" s="27" t="str">
        <f t="shared" si="145"/>
        <v>OTROS DESCUENTOS</v>
      </c>
      <c r="O849" s="4">
        <f t="shared" si="146"/>
        <v>230</v>
      </c>
      <c r="P849" s="4" t="s">
        <v>846</v>
      </c>
      <c r="Q849" s="4" t="str">
        <f t="shared" si="143"/>
        <v>2-1-0-13-30-15-230</v>
      </c>
      <c r="R849" s="4" t="str">
        <f t="shared" si="147"/>
        <v>ALCALDIA REINT. GTOS. OFIC.</v>
      </c>
    </row>
    <row r="850" spans="1:18" x14ac:dyDescent="0.2">
      <c r="A850" s="1">
        <v>2</v>
      </c>
      <c r="B850" s="6" t="str">
        <f>VLOOKUP(A850,'ACTIVOS CODIGO'!A:B,2,0)</f>
        <v>PASIVO</v>
      </c>
      <c r="C850" s="2">
        <v>1</v>
      </c>
      <c r="D850" s="7" t="str">
        <f>VLOOKUP(C850,'ACTIVOS CODIGO'!H:I,2,0)</f>
        <v>PASIVO DEL TESORO = PASIVO CORRIENTE</v>
      </c>
      <c r="E850" s="3"/>
      <c r="F850" s="8"/>
      <c r="G850" s="10">
        <v>133</v>
      </c>
      <c r="H850" s="10" t="str">
        <f>VLOOKUP(G850,'PUB 21'!$A$1:$B$29,2,0)</f>
        <v>DEPOSITOS DE TERCEROS</v>
      </c>
      <c r="I850"/>
      <c r="J850" s="4"/>
      <c r="K850">
        <v>15</v>
      </c>
      <c r="L850" s="4" t="s">
        <v>547</v>
      </c>
      <c r="M850" s="27" t="str">
        <f t="shared" si="144"/>
        <v>2-1-0-13-30-15</v>
      </c>
      <c r="N850" s="27" t="str">
        <f t="shared" si="145"/>
        <v>OTROS DESCUENTOS</v>
      </c>
      <c r="O850" s="4">
        <f t="shared" si="146"/>
        <v>231</v>
      </c>
      <c r="P850" s="4" t="s">
        <v>847</v>
      </c>
      <c r="Q850" s="4" t="str">
        <f t="shared" ref="Q850:Q913" si="148">CONCATENATE(TEXT(A850,"0"),"-",TEXT(C850,"0"),"-",TEXT(E850,"0"),"-",TEXT(LEFT(G850,2),"00"),"-",TEXT(RIGHT(G850,1),"0"),TEXT(I850,"0"),"-",TEXT(K850,"00"),"-",TEXT(O850,"000"))</f>
        <v>2-1-0-13-30-15-231</v>
      </c>
      <c r="R850" s="4" t="str">
        <f t="shared" si="147"/>
        <v>S.S.O TIEMPO OMITIDO S.S.O</v>
      </c>
    </row>
    <row r="851" spans="1:18" x14ac:dyDescent="0.2">
      <c r="A851" s="1">
        <v>2</v>
      </c>
      <c r="B851" s="6" t="str">
        <f>VLOOKUP(A851,'ACTIVOS CODIGO'!A:B,2,0)</f>
        <v>PASIVO</v>
      </c>
      <c r="C851" s="2">
        <v>1</v>
      </c>
      <c r="D851" s="7" t="str">
        <f>VLOOKUP(C851,'ACTIVOS CODIGO'!H:I,2,0)</f>
        <v>PASIVO DEL TESORO = PASIVO CORRIENTE</v>
      </c>
      <c r="E851" s="3"/>
      <c r="F851" s="8"/>
      <c r="G851" s="10">
        <v>133</v>
      </c>
      <c r="H851" s="10" t="str">
        <f>VLOOKUP(G851,'PUB 21'!$A$1:$B$29,2,0)</f>
        <v>DEPOSITOS DE TERCEROS</v>
      </c>
      <c r="I851"/>
      <c r="J851" s="4"/>
      <c r="K851">
        <v>15</v>
      </c>
      <c r="L851" s="4" t="s">
        <v>547</v>
      </c>
      <c r="M851" s="27" t="str">
        <f t="shared" si="144"/>
        <v>2-1-0-13-30-15</v>
      </c>
      <c r="N851" s="27" t="str">
        <f t="shared" si="145"/>
        <v>OTROS DESCUENTOS</v>
      </c>
      <c r="O851" s="4">
        <f t="shared" si="146"/>
        <v>232</v>
      </c>
      <c r="P851" s="4" t="s">
        <v>848</v>
      </c>
      <c r="Q851" s="4" t="str">
        <f t="shared" si="148"/>
        <v>2-1-0-13-30-15-232</v>
      </c>
      <c r="R851" s="4" t="str">
        <f t="shared" si="147"/>
        <v>LINEA BLANCA</v>
      </c>
    </row>
    <row r="852" spans="1:18" x14ac:dyDescent="0.2">
      <c r="A852" s="1">
        <v>2</v>
      </c>
      <c r="B852" s="6" t="str">
        <f>VLOOKUP(A852,'ACTIVOS CODIGO'!A:B,2,0)</f>
        <v>PASIVO</v>
      </c>
      <c r="C852" s="2">
        <v>1</v>
      </c>
      <c r="D852" s="7" t="str">
        <f>VLOOKUP(C852,'ACTIVOS CODIGO'!H:I,2,0)</f>
        <v>PASIVO DEL TESORO = PASIVO CORRIENTE</v>
      </c>
      <c r="E852" s="3"/>
      <c r="F852" s="8"/>
      <c r="G852" s="10">
        <v>133</v>
      </c>
      <c r="H852" s="10" t="str">
        <f>VLOOKUP(G852,'PUB 21'!$A$1:$B$29,2,0)</f>
        <v>DEPOSITOS DE TERCEROS</v>
      </c>
      <c r="I852"/>
      <c r="J852" s="4"/>
      <c r="K852">
        <v>15</v>
      </c>
      <c r="L852" s="4" t="s">
        <v>547</v>
      </c>
      <c r="M852" s="27" t="str">
        <f t="shared" si="144"/>
        <v>2-1-0-13-30-15</v>
      </c>
      <c r="N852" s="27" t="str">
        <f t="shared" si="145"/>
        <v>OTROS DESCUENTOS</v>
      </c>
      <c r="O852" s="4">
        <f t="shared" si="146"/>
        <v>233</v>
      </c>
      <c r="P852" s="4" t="s">
        <v>849</v>
      </c>
      <c r="Q852" s="4" t="str">
        <f t="shared" si="148"/>
        <v>2-1-0-13-30-15-233</v>
      </c>
      <c r="R852" s="4" t="str">
        <f t="shared" si="147"/>
        <v>AHORRO VOLUNTARIO</v>
      </c>
    </row>
    <row r="853" spans="1:18" x14ac:dyDescent="0.2">
      <c r="A853" s="1">
        <v>2</v>
      </c>
      <c r="B853" s="6" t="str">
        <f>VLOOKUP(A853,'ACTIVOS CODIGO'!A:B,2,0)</f>
        <v>PASIVO</v>
      </c>
      <c r="C853" s="2">
        <v>1</v>
      </c>
      <c r="D853" s="7" t="str">
        <f>VLOOKUP(C853,'ACTIVOS CODIGO'!H:I,2,0)</f>
        <v>PASIVO DEL TESORO = PASIVO CORRIENTE</v>
      </c>
      <c r="E853" s="3"/>
      <c r="F853" s="8"/>
      <c r="G853" s="10">
        <v>199</v>
      </c>
      <c r="H853" s="10" t="str">
        <f>VLOOKUP(G853,'PUB 21'!$A$1:$B$29,2,0)</f>
        <v>SITUACION FINANCIERA DEL TESORO</v>
      </c>
      <c r="K853" s="18"/>
      <c r="L853" s="5"/>
      <c r="M853" s="27" t="str">
        <f t="shared" ref="M853:M891" si="149">CONCATENATE(TEXT(A853,"0"),"-",TEXT(C853,"0"),"-",TEXT(E853,"0"),"-",TEXT(LEFT(G853,2),"00"),"-",TEXT(RIGHT(G853,1),"0"),TEXT(I853,"0"),"-",TEXT(K853,"00"))</f>
        <v>2-1-0-19-90-00</v>
      </c>
      <c r="N853" s="27" t="str">
        <f t="shared" ref="N853:N891" si="150">IF(L853="",IF(J853="",IF(H853="",IF(F853="",IF(D853="",B853,D853),F853),H853),J853),L853)</f>
        <v>SITUACION FINANCIERA DEL TESORO</v>
      </c>
      <c r="O853" s="4">
        <f t="shared" si="146"/>
        <v>0</v>
      </c>
      <c r="Q853" s="4" t="str">
        <f t="shared" si="148"/>
        <v>2-1-0-19-90-00-000</v>
      </c>
      <c r="R853" s="4" t="str">
        <f t="shared" si="147"/>
        <v>SITUACION FINANCIERA DEL TESORO</v>
      </c>
    </row>
    <row r="854" spans="1:18" x14ac:dyDescent="0.2">
      <c r="A854" s="1">
        <v>2</v>
      </c>
      <c r="B854" s="6" t="str">
        <f>VLOOKUP(A854,'ACTIVOS CODIGO'!A:B,2,0)</f>
        <v>PASIVO</v>
      </c>
      <c r="C854" s="2">
        <v>1</v>
      </c>
      <c r="D854" s="7" t="str">
        <f>VLOOKUP(C854,'ACTIVOS CODIGO'!H:I,2,0)</f>
        <v>PASIVO DEL TESORO = PASIVO CORRIENTE</v>
      </c>
      <c r="E854" s="3"/>
      <c r="F854" s="8"/>
      <c r="G854" s="10">
        <v>199</v>
      </c>
      <c r="H854" s="10" t="str">
        <f>VLOOKUP(G854,'PUB 21'!$A$1:$B$29,2,0)</f>
        <v>SITUACION FINANCIERA DEL TESORO</v>
      </c>
      <c r="K854" s="18"/>
      <c r="L854" s="5"/>
      <c r="M854" s="27" t="str">
        <f t="shared" si="149"/>
        <v>2-1-0-19-90-00</v>
      </c>
      <c r="N854" s="27" t="str">
        <f t="shared" si="150"/>
        <v>SITUACION FINANCIERA DEL TESORO</v>
      </c>
      <c r="O854" s="4">
        <f t="shared" si="146"/>
        <v>1</v>
      </c>
      <c r="P854" s="4" t="s">
        <v>93</v>
      </c>
      <c r="Q854" s="4" t="str">
        <f t="shared" si="148"/>
        <v>2-1-0-19-90-00-001</v>
      </c>
      <c r="R854" s="4" t="str">
        <f t="shared" si="147"/>
        <v>SITUACION FINANCIERA DEL TESORO</v>
      </c>
    </row>
    <row r="855" spans="1:18" ht="23.25" x14ac:dyDescent="0.2">
      <c r="A855" s="1">
        <v>2</v>
      </c>
      <c r="B855" s="6" t="str">
        <f>VLOOKUP(A855,'ACTIVOS CODIGO'!A:B,2,0)</f>
        <v>PASIVO</v>
      </c>
      <c r="C855" s="2">
        <v>2</v>
      </c>
      <c r="D855" s="7" t="str">
        <f>VLOOKUP(C855,'ACTIVOS CODIGO'!H:I,2,0)</f>
        <v>PASIVO DE LA HACIENDA = PASIVO NO CORRIENTE</v>
      </c>
      <c r="E855" s="3"/>
      <c r="F855" s="8"/>
      <c r="G855" s="10">
        <v>203</v>
      </c>
      <c r="H855" s="10" t="str">
        <f>VLOOKUP(G855,'PUB 21'!$A$1:$B$29,2,0)</f>
        <v>OBLIGACIONES DIFERIDAS</v>
      </c>
      <c r="K855" s="18"/>
      <c r="M855" s="27" t="str">
        <f t="shared" si="149"/>
        <v>2-2-0-20-30-00</v>
      </c>
      <c r="N855" s="27" t="str">
        <f t="shared" si="150"/>
        <v>OBLIGACIONES DIFERIDAS</v>
      </c>
      <c r="O855" s="4">
        <f t="shared" si="146"/>
        <v>0</v>
      </c>
      <c r="Q855" s="4" t="str">
        <f t="shared" si="148"/>
        <v>2-2-0-20-30-00-000</v>
      </c>
      <c r="R855" s="4" t="str">
        <f t="shared" si="147"/>
        <v>OBLIGACIONES DIFERIDAS</v>
      </c>
    </row>
    <row r="856" spans="1:18" ht="23.25" x14ac:dyDescent="0.2">
      <c r="A856" s="1">
        <v>2</v>
      </c>
      <c r="B856" s="6" t="str">
        <f>VLOOKUP(A856,'ACTIVOS CODIGO'!A:B,2,0)</f>
        <v>PASIVO</v>
      </c>
      <c r="C856" s="2">
        <v>2</v>
      </c>
      <c r="D856" s="7" t="str">
        <f>VLOOKUP(C856,'ACTIVOS CODIGO'!H:I,2,0)</f>
        <v>PASIVO DE LA HACIENDA = PASIVO NO CORRIENTE</v>
      </c>
      <c r="E856" s="3"/>
      <c r="F856" s="8"/>
      <c r="G856" s="10">
        <v>203</v>
      </c>
      <c r="H856" s="10" t="str">
        <f>VLOOKUP(G856,'PUB 21'!$A$1:$B$29,2,0)</f>
        <v>OBLIGACIONES DIFERIDAS</v>
      </c>
      <c r="K856" s="4">
        <v>1</v>
      </c>
      <c r="L856" s="4" t="s">
        <v>869</v>
      </c>
      <c r="M856" s="27" t="str">
        <f t="shared" si="149"/>
        <v>2-2-0-20-30-01</v>
      </c>
      <c r="N856" s="27" t="str">
        <f t="shared" si="150"/>
        <v>OBLIGACIONES APROBADAS POR CAMARA</v>
      </c>
      <c r="O856" s="4">
        <f t="shared" si="146"/>
        <v>0</v>
      </c>
      <c r="Q856" s="4" t="str">
        <f t="shared" si="148"/>
        <v>2-2-0-20-30-01-000</v>
      </c>
      <c r="R856" s="4" t="str">
        <f t="shared" si="147"/>
        <v>OBLIGACIONES APROBADAS POR CAMARA</v>
      </c>
    </row>
    <row r="857" spans="1:18" ht="23.25" x14ac:dyDescent="0.2">
      <c r="A857" s="1">
        <v>2</v>
      </c>
      <c r="B857" s="6" t="str">
        <f>VLOOKUP(A857,'ACTIVOS CODIGO'!A:B,2,0)</f>
        <v>PASIVO</v>
      </c>
      <c r="C857" s="2">
        <v>2</v>
      </c>
      <c r="D857" s="7" t="str">
        <f>VLOOKUP(C857,'ACTIVOS CODIGO'!H:I,2,0)</f>
        <v>PASIVO DE LA HACIENDA = PASIVO NO CORRIENTE</v>
      </c>
      <c r="E857" s="3"/>
      <c r="F857" s="8"/>
      <c r="G857" s="10">
        <v>203</v>
      </c>
      <c r="H857" s="10" t="str">
        <f>VLOOKUP(G857,'PUB 21'!$A$1:$B$29,2,0)</f>
        <v>OBLIGACIONES DIFERIDAS</v>
      </c>
      <c r="K857" s="4">
        <v>1</v>
      </c>
      <c r="L857" s="4" t="s">
        <v>869</v>
      </c>
      <c r="M857" s="27" t="str">
        <f t="shared" si="149"/>
        <v>2-2-0-20-30-01</v>
      </c>
      <c r="N857" s="27" t="str">
        <f t="shared" si="150"/>
        <v>OBLIGACIONES APROBADAS POR CAMARA</v>
      </c>
      <c r="O857" s="4">
        <f t="shared" si="146"/>
        <v>1</v>
      </c>
      <c r="P857" s="4" t="s">
        <v>870</v>
      </c>
      <c r="Q857" s="4" t="str">
        <f t="shared" si="148"/>
        <v>2-2-0-20-30-01-001</v>
      </c>
      <c r="R857" s="4" t="str">
        <f t="shared" si="147"/>
        <v>GOBERNACION DEL DISTRITO FEDERAL</v>
      </c>
    </row>
    <row r="858" spans="1:18" ht="23.25" x14ac:dyDescent="0.2">
      <c r="A858" s="1">
        <v>2</v>
      </c>
      <c r="B858" s="6" t="str">
        <f>VLOOKUP(A858,'ACTIVOS CODIGO'!A:B,2,0)</f>
        <v>PASIVO</v>
      </c>
      <c r="C858" s="2">
        <v>2</v>
      </c>
      <c r="D858" s="7" t="str">
        <f>VLOOKUP(C858,'ACTIVOS CODIGO'!H:I,2,0)</f>
        <v>PASIVO DE LA HACIENDA = PASIVO NO CORRIENTE</v>
      </c>
      <c r="E858" s="3"/>
      <c r="F858" s="8"/>
      <c r="G858" s="10">
        <v>203</v>
      </c>
      <c r="H858" s="10" t="str">
        <f>VLOOKUP(G858,'PUB 21'!$A$1:$B$29,2,0)</f>
        <v>OBLIGACIONES DIFERIDAS</v>
      </c>
      <c r="K858" s="4">
        <v>1</v>
      </c>
      <c r="L858" s="4" t="s">
        <v>869</v>
      </c>
      <c r="M858" s="27" t="str">
        <f t="shared" si="149"/>
        <v>2-2-0-20-30-01</v>
      </c>
      <c r="N858" s="27" t="str">
        <f t="shared" si="150"/>
        <v>OBLIGACIONES APROBADAS POR CAMARA</v>
      </c>
      <c r="O858" s="4">
        <f t="shared" si="146"/>
        <v>2</v>
      </c>
      <c r="P858" s="4" t="s">
        <v>871</v>
      </c>
      <c r="Q858" s="4" t="str">
        <f t="shared" si="148"/>
        <v>2-2-0-20-30-01-002</v>
      </c>
      <c r="R858" s="4" t="str">
        <f t="shared" si="147"/>
        <v>PASIVO LABORAL CONTRATADO</v>
      </c>
    </row>
    <row r="859" spans="1:18" ht="23.25" x14ac:dyDescent="0.2">
      <c r="A859" s="1">
        <v>2</v>
      </c>
      <c r="B859" s="6" t="str">
        <f>VLOOKUP(A859,'ACTIVOS CODIGO'!A:B,2,0)</f>
        <v>PASIVO</v>
      </c>
      <c r="C859" s="2">
        <v>2</v>
      </c>
      <c r="D859" s="7" t="str">
        <f>VLOOKUP(C859,'ACTIVOS CODIGO'!H:I,2,0)</f>
        <v>PASIVO DE LA HACIENDA = PASIVO NO CORRIENTE</v>
      </c>
      <c r="E859" s="3"/>
      <c r="F859" s="8"/>
      <c r="G859" s="10">
        <v>203</v>
      </c>
      <c r="H859" s="10" t="str">
        <f>VLOOKUP(G859,'PUB 21'!$A$1:$B$29,2,0)</f>
        <v>OBLIGACIONES DIFERIDAS</v>
      </c>
      <c r="K859" s="4">
        <v>1</v>
      </c>
      <c r="L859" s="4" t="s">
        <v>869</v>
      </c>
      <c r="M859" s="27" t="str">
        <f t="shared" si="149"/>
        <v>2-2-0-20-30-01</v>
      </c>
      <c r="N859" s="27" t="str">
        <f t="shared" si="150"/>
        <v>OBLIGACIONES APROBADAS POR CAMARA</v>
      </c>
      <c r="O859" s="4">
        <f t="shared" si="146"/>
        <v>3</v>
      </c>
      <c r="P859" s="4" t="s">
        <v>872</v>
      </c>
      <c r="Q859" s="4" t="str">
        <f t="shared" si="148"/>
        <v>2-2-0-20-30-01-003</v>
      </c>
      <c r="R859" s="4" t="str">
        <f t="shared" si="147"/>
        <v>PASIVO LABORAL EMP. ADMINISTRATIVO</v>
      </c>
    </row>
    <row r="860" spans="1:18" ht="23.25" x14ac:dyDescent="0.2">
      <c r="A860" s="1">
        <v>2</v>
      </c>
      <c r="B860" s="6" t="str">
        <f>VLOOKUP(A860,'ACTIVOS CODIGO'!A:B,2,0)</f>
        <v>PASIVO</v>
      </c>
      <c r="C860" s="2">
        <v>2</v>
      </c>
      <c r="D860" s="7" t="str">
        <f>VLOOKUP(C860,'ACTIVOS CODIGO'!H:I,2,0)</f>
        <v>PASIVO DE LA HACIENDA = PASIVO NO CORRIENTE</v>
      </c>
      <c r="E860" s="3"/>
      <c r="F860" s="8"/>
      <c r="G860" s="10">
        <v>203</v>
      </c>
      <c r="H860" s="10" t="str">
        <f>VLOOKUP(G860,'PUB 21'!$A$1:$B$29,2,0)</f>
        <v>OBLIGACIONES DIFERIDAS</v>
      </c>
      <c r="K860" s="4">
        <v>1</v>
      </c>
      <c r="L860" s="4" t="s">
        <v>869</v>
      </c>
      <c r="M860" s="27" t="str">
        <f t="shared" si="149"/>
        <v>2-2-0-20-30-01</v>
      </c>
      <c r="N860" s="27" t="str">
        <f t="shared" si="150"/>
        <v>OBLIGACIONES APROBADAS POR CAMARA</v>
      </c>
      <c r="O860" s="4">
        <f t="shared" si="146"/>
        <v>4</v>
      </c>
      <c r="P860" s="4" t="s">
        <v>873</v>
      </c>
      <c r="Q860" s="4" t="str">
        <f t="shared" si="148"/>
        <v>2-2-0-20-30-01-004</v>
      </c>
      <c r="R860" s="4" t="str">
        <f t="shared" si="147"/>
        <v>PASIVO LABORAL ALTO NIVEL</v>
      </c>
    </row>
    <row r="861" spans="1:18" ht="23.25" x14ac:dyDescent="0.2">
      <c r="A861" s="1">
        <v>2</v>
      </c>
      <c r="B861" s="6" t="str">
        <f>VLOOKUP(A861,'ACTIVOS CODIGO'!A:B,2,0)</f>
        <v>PASIVO</v>
      </c>
      <c r="C861" s="2">
        <v>2</v>
      </c>
      <c r="D861" s="7" t="str">
        <f>VLOOKUP(C861,'ACTIVOS CODIGO'!H:I,2,0)</f>
        <v>PASIVO DE LA HACIENDA = PASIVO NO CORRIENTE</v>
      </c>
      <c r="E861" s="3"/>
      <c r="F861" s="8"/>
      <c r="G861" s="10">
        <v>203</v>
      </c>
      <c r="H861" s="10" t="str">
        <f>VLOOKUP(G861,'PUB 21'!$A$1:$B$29,2,0)</f>
        <v>OBLIGACIONES DIFERIDAS</v>
      </c>
      <c r="K861" s="4">
        <v>1</v>
      </c>
      <c r="L861" s="4" t="s">
        <v>869</v>
      </c>
      <c r="M861" s="27" t="str">
        <f t="shared" si="149"/>
        <v>2-2-0-20-30-01</v>
      </c>
      <c r="N861" s="27" t="str">
        <f t="shared" si="150"/>
        <v>OBLIGACIONES APROBADAS POR CAMARA</v>
      </c>
      <c r="O861" s="4">
        <f t="shared" si="146"/>
        <v>5</v>
      </c>
      <c r="P861" s="4" t="s">
        <v>874</v>
      </c>
      <c r="Q861" s="4" t="str">
        <f t="shared" si="148"/>
        <v>2-2-0-20-30-01-005</v>
      </c>
      <c r="R861" s="4" t="str">
        <f t="shared" si="147"/>
        <v>PASIVO LABORAL OBRERO</v>
      </c>
    </row>
    <row r="862" spans="1:18" ht="23.25" x14ac:dyDescent="0.2">
      <c r="A862" s="1">
        <v>2</v>
      </c>
      <c r="B862" s="6" t="str">
        <f>VLOOKUP(A862,'ACTIVOS CODIGO'!A:B,2,0)</f>
        <v>PASIVO</v>
      </c>
      <c r="C862" s="2">
        <v>2</v>
      </c>
      <c r="D862" s="7" t="str">
        <f>VLOOKUP(C862,'ACTIVOS CODIGO'!H:I,2,0)</f>
        <v>PASIVO DE LA HACIENDA = PASIVO NO CORRIENTE</v>
      </c>
      <c r="E862" s="3"/>
      <c r="F862" s="8"/>
      <c r="G862" s="10">
        <v>203</v>
      </c>
      <c r="H862" s="10" t="str">
        <f>VLOOKUP(G862,'PUB 21'!$A$1:$B$29,2,0)</f>
        <v>OBLIGACIONES DIFERIDAS</v>
      </c>
      <c r="K862" s="4">
        <v>1</v>
      </c>
      <c r="L862" s="4" t="s">
        <v>869</v>
      </c>
      <c r="M862" s="27" t="str">
        <f t="shared" si="149"/>
        <v>2-2-0-20-30-01</v>
      </c>
      <c r="N862" s="27" t="str">
        <f t="shared" si="150"/>
        <v>OBLIGACIONES APROBADAS POR CAMARA</v>
      </c>
      <c r="O862" s="4">
        <f t="shared" si="146"/>
        <v>6</v>
      </c>
      <c r="P862" s="4" t="s">
        <v>875</v>
      </c>
      <c r="Q862" s="4" t="str">
        <f t="shared" si="148"/>
        <v>2-2-0-20-30-01-006</v>
      </c>
      <c r="R862" s="4" t="str">
        <f t="shared" si="147"/>
        <v>CONSEJOS COMUNALES AÃ‘OS</v>
      </c>
    </row>
    <row r="863" spans="1:18" ht="23.25" x14ac:dyDescent="0.2">
      <c r="A863" s="1">
        <v>2</v>
      </c>
      <c r="B863" s="6" t="str">
        <f>VLOOKUP(A863,'ACTIVOS CODIGO'!A:B,2,0)</f>
        <v>PASIVO</v>
      </c>
      <c r="C863" s="2">
        <v>2</v>
      </c>
      <c r="D863" s="7" t="str">
        <f>VLOOKUP(C863,'ACTIVOS CODIGO'!H:I,2,0)</f>
        <v>PASIVO DE LA HACIENDA = PASIVO NO CORRIENTE</v>
      </c>
      <c r="E863" s="3"/>
      <c r="F863" s="8"/>
      <c r="G863" s="10">
        <v>203</v>
      </c>
      <c r="H863" s="10" t="str">
        <f>VLOOKUP(G863,'PUB 21'!$A$1:$B$29,2,0)</f>
        <v>OBLIGACIONES DIFERIDAS</v>
      </c>
      <c r="K863" s="4">
        <v>1</v>
      </c>
      <c r="L863" s="4" t="s">
        <v>869</v>
      </c>
      <c r="M863" s="27" t="str">
        <f t="shared" si="149"/>
        <v>2-2-0-20-30-01</v>
      </c>
      <c r="N863" s="27" t="str">
        <f t="shared" si="150"/>
        <v>OBLIGACIONES APROBADAS POR CAMARA</v>
      </c>
      <c r="O863" s="4">
        <f t="shared" si="146"/>
        <v>7</v>
      </c>
      <c r="P863" s="4" t="s">
        <v>876</v>
      </c>
      <c r="Q863" s="4" t="str">
        <f t="shared" si="148"/>
        <v>2-2-0-20-30-01-007</v>
      </c>
      <c r="R863" s="4" t="str">
        <f t="shared" si="147"/>
        <v>NOMINAS Y OTRAS REMUN. DEUDA</v>
      </c>
    </row>
    <row r="864" spans="1:18" ht="23.25" x14ac:dyDescent="0.2">
      <c r="A864" s="1">
        <v>2</v>
      </c>
      <c r="B864" s="6" t="str">
        <f>VLOOKUP(A864,'ACTIVOS CODIGO'!A:B,2,0)</f>
        <v>PASIVO</v>
      </c>
      <c r="C864" s="2">
        <v>2</v>
      </c>
      <c r="D864" s="7" t="str">
        <f>VLOOKUP(C864,'ACTIVOS CODIGO'!H:I,2,0)</f>
        <v>PASIVO DE LA HACIENDA = PASIVO NO CORRIENTE</v>
      </c>
      <c r="E864" s="3"/>
      <c r="F864" s="8"/>
      <c r="G864" s="10">
        <v>203</v>
      </c>
      <c r="H864" s="10" t="str">
        <f>VLOOKUP(G864,'PUB 21'!$A$1:$B$29,2,0)</f>
        <v>OBLIGACIONES DIFERIDAS</v>
      </c>
      <c r="K864" s="4">
        <v>1</v>
      </c>
      <c r="L864" s="4" t="s">
        <v>869</v>
      </c>
      <c r="M864" s="27" t="str">
        <f t="shared" si="149"/>
        <v>2-2-0-20-30-01</v>
      </c>
      <c r="N864" s="27" t="str">
        <f t="shared" si="150"/>
        <v>OBLIGACIONES APROBADAS POR CAMARA</v>
      </c>
      <c r="O864" s="4">
        <f t="shared" si="146"/>
        <v>8</v>
      </c>
      <c r="P864" s="4" t="s">
        <v>877</v>
      </c>
      <c r="Q864" s="4" t="str">
        <f t="shared" si="148"/>
        <v>2-2-0-20-30-01-008</v>
      </c>
      <c r="R864" s="4" t="str">
        <f t="shared" si="147"/>
        <v>OBRAS AÃ‘OS ANTERIORES</v>
      </c>
    </row>
    <row r="865" spans="1:18" ht="23.25" x14ac:dyDescent="0.2">
      <c r="A865" s="1">
        <v>2</v>
      </c>
      <c r="B865" s="6" t="str">
        <f>VLOOKUP(A865,'ACTIVOS CODIGO'!A:B,2,0)</f>
        <v>PASIVO</v>
      </c>
      <c r="C865" s="2">
        <v>2</v>
      </c>
      <c r="D865" s="7" t="str">
        <f>VLOOKUP(C865,'ACTIVOS CODIGO'!H:I,2,0)</f>
        <v>PASIVO DE LA HACIENDA = PASIVO NO CORRIENTE</v>
      </c>
      <c r="E865" s="3"/>
      <c r="F865" s="8"/>
      <c r="G865" s="10">
        <v>203</v>
      </c>
      <c r="H865" s="10" t="str">
        <f>VLOOKUP(G865,'PUB 21'!$A$1:$B$29,2,0)</f>
        <v>OBLIGACIONES DIFERIDAS</v>
      </c>
      <c r="K865" s="4">
        <v>1</v>
      </c>
      <c r="L865" s="4" t="s">
        <v>869</v>
      </c>
      <c r="M865" s="27" t="str">
        <f t="shared" si="149"/>
        <v>2-2-0-20-30-01</v>
      </c>
      <c r="N865" s="27" t="str">
        <f t="shared" si="150"/>
        <v>OBLIGACIONES APROBADAS POR CAMARA</v>
      </c>
      <c r="O865" s="4">
        <f t="shared" si="146"/>
        <v>9</v>
      </c>
      <c r="P865" s="4" t="s">
        <v>878</v>
      </c>
      <c r="Q865" s="4" t="str">
        <f t="shared" si="148"/>
        <v>2-2-0-20-30-01-009</v>
      </c>
      <c r="R865" s="4" t="str">
        <f t="shared" si="147"/>
        <v>DEUDAS COMPROMISO PROVEEDORES</v>
      </c>
    </row>
    <row r="866" spans="1:18" ht="23.25" x14ac:dyDescent="0.2">
      <c r="A866" s="1">
        <v>2</v>
      </c>
      <c r="B866" s="6" t="str">
        <f>VLOOKUP(A866,'ACTIVOS CODIGO'!A:B,2,0)</f>
        <v>PASIVO</v>
      </c>
      <c r="C866" s="2">
        <v>2</v>
      </c>
      <c r="D866" s="7" t="str">
        <f>VLOOKUP(C866,'ACTIVOS CODIGO'!H:I,2,0)</f>
        <v>PASIVO DE LA HACIENDA = PASIVO NO CORRIENTE</v>
      </c>
      <c r="E866" s="3"/>
      <c r="F866" s="8"/>
      <c r="G866" s="10">
        <v>203</v>
      </c>
      <c r="H866" s="10" t="str">
        <f>VLOOKUP(G866,'PUB 21'!$A$1:$B$29,2,0)</f>
        <v>OBLIGACIONES DIFERIDAS</v>
      </c>
      <c r="K866" s="4">
        <v>1</v>
      </c>
      <c r="L866" s="4" t="s">
        <v>869</v>
      </c>
      <c r="M866" s="27" t="str">
        <f t="shared" si="149"/>
        <v>2-2-0-20-30-01</v>
      </c>
      <c r="N866" s="27" t="str">
        <f t="shared" si="150"/>
        <v>OBLIGACIONES APROBADAS POR CAMARA</v>
      </c>
      <c r="O866" s="4">
        <f t="shared" si="146"/>
        <v>10</v>
      </c>
      <c r="P866" s="4" t="s">
        <v>879</v>
      </c>
      <c r="Q866" s="4" t="str">
        <f t="shared" si="148"/>
        <v>2-2-0-20-30-01-010</v>
      </c>
      <c r="R866" s="4" t="str">
        <f t="shared" si="147"/>
        <v>DEUDA ALCALDIA MAYOR</v>
      </c>
    </row>
    <row r="867" spans="1:18" ht="23.25" x14ac:dyDescent="0.2">
      <c r="A867" s="1">
        <v>2</v>
      </c>
      <c r="B867" s="6" t="str">
        <f>VLOOKUP(A867,'ACTIVOS CODIGO'!A:B,2,0)</f>
        <v>PASIVO</v>
      </c>
      <c r="C867" s="2">
        <v>2</v>
      </c>
      <c r="D867" s="7" t="str">
        <f>VLOOKUP(C867,'ACTIVOS CODIGO'!H:I,2,0)</f>
        <v>PASIVO DE LA HACIENDA = PASIVO NO CORRIENTE</v>
      </c>
      <c r="E867" s="3"/>
      <c r="F867" s="8"/>
      <c r="G867" s="10">
        <v>221</v>
      </c>
      <c r="H867" s="10" t="str">
        <f>VLOOKUP(G867,'PUB 21'!$A$1:$B$29,2,0)</f>
        <v>RESERVAS PARA ACTIVOS DUDOSOS</v>
      </c>
      <c r="K867" s="18"/>
      <c r="L867" s="5"/>
      <c r="M867" s="27" t="str">
        <f t="shared" si="149"/>
        <v>2-2-0-22-10-00</v>
      </c>
      <c r="N867" s="27" t="str">
        <f t="shared" si="150"/>
        <v>RESERVAS PARA ACTIVOS DUDOSOS</v>
      </c>
      <c r="O867" s="4">
        <f t="shared" si="146"/>
        <v>0</v>
      </c>
      <c r="Q867" s="4" t="str">
        <f t="shared" si="148"/>
        <v>2-2-0-22-10-00-000</v>
      </c>
      <c r="R867" s="4" t="str">
        <f t="shared" si="147"/>
        <v>RESERVAS PARA ACTIVOS DUDOSOS</v>
      </c>
    </row>
    <row r="868" spans="1:18" ht="23.25" x14ac:dyDescent="0.2">
      <c r="A868" s="1">
        <v>2</v>
      </c>
      <c r="B868" s="6" t="str">
        <f>VLOOKUP(A868,'ACTIVOS CODIGO'!A:B,2,0)</f>
        <v>PASIVO</v>
      </c>
      <c r="C868" s="2">
        <v>2</v>
      </c>
      <c r="D868" s="7" t="str">
        <f>VLOOKUP(C868,'ACTIVOS CODIGO'!H:I,2,0)</f>
        <v>PASIVO DE LA HACIENDA = PASIVO NO CORRIENTE</v>
      </c>
      <c r="E868" s="3"/>
      <c r="F868" s="8"/>
      <c r="G868" s="10">
        <v>221</v>
      </c>
      <c r="H868" s="10" t="str">
        <f>VLOOKUP(G868,'PUB 21'!$A$1:$B$29,2,0)</f>
        <v>RESERVAS PARA ACTIVOS DUDOSOS</v>
      </c>
      <c r="K868" s="18">
        <v>1</v>
      </c>
      <c r="L868" s="4" t="s">
        <v>881</v>
      </c>
      <c r="M868" s="27" t="str">
        <f t="shared" si="149"/>
        <v>2-2-0-22-10-01</v>
      </c>
      <c r="N868" s="27" t="str">
        <f t="shared" si="150"/>
        <v>RESERVA PARA ACTIVOS DUDOSOS</v>
      </c>
      <c r="O868" s="4">
        <f t="shared" si="146"/>
        <v>0</v>
      </c>
      <c r="Q868" s="4" t="str">
        <f t="shared" si="148"/>
        <v>2-2-0-22-10-01-000</v>
      </c>
      <c r="R868" s="4" t="str">
        <f t="shared" si="147"/>
        <v>RESERVA PARA ACTIVOS DUDOSOS</v>
      </c>
    </row>
    <row r="869" spans="1:18" ht="23.25" x14ac:dyDescent="0.2">
      <c r="A869" s="1">
        <v>2</v>
      </c>
      <c r="B869" s="6" t="str">
        <f>VLOOKUP(A869,'ACTIVOS CODIGO'!A:B,2,0)</f>
        <v>PASIVO</v>
      </c>
      <c r="C869" s="2">
        <v>2</v>
      </c>
      <c r="D869" s="7" t="str">
        <f>VLOOKUP(C869,'ACTIVOS CODIGO'!H:I,2,0)</f>
        <v>PASIVO DE LA HACIENDA = PASIVO NO CORRIENTE</v>
      </c>
      <c r="E869" s="3"/>
      <c r="F869" s="8"/>
      <c r="G869" s="10">
        <v>221</v>
      </c>
      <c r="H869" s="10" t="str">
        <f>VLOOKUP(G869,'PUB 21'!$A$1:$B$29,2,0)</f>
        <v>RESERVAS PARA ACTIVOS DUDOSOS</v>
      </c>
      <c r="K869" s="18">
        <v>1</v>
      </c>
      <c r="L869" s="4" t="s">
        <v>881</v>
      </c>
      <c r="M869" s="27" t="str">
        <f t="shared" si="149"/>
        <v>2-2-0-22-10-01</v>
      </c>
      <c r="N869" s="27" t="str">
        <f t="shared" si="150"/>
        <v>RESERVA PARA ACTIVOS DUDOSOS</v>
      </c>
      <c r="O869" s="4">
        <f t="shared" si="146"/>
        <v>1</v>
      </c>
      <c r="P869" s="44" t="s">
        <v>880</v>
      </c>
      <c r="Q869" s="4" t="str">
        <f t="shared" si="148"/>
        <v>2-2-0-22-10-01-001</v>
      </c>
      <c r="R869" s="4" t="str">
        <f t="shared" si="147"/>
        <v>RESERVA ACT. DUDOSO. OTROS ACT.</v>
      </c>
    </row>
    <row r="870" spans="1:18" ht="23.25" x14ac:dyDescent="0.2">
      <c r="A870" s="1">
        <v>2</v>
      </c>
      <c r="B870" s="6" t="str">
        <f>VLOOKUP(A870,'ACTIVOS CODIGO'!A:B,2,0)</f>
        <v>PASIVO</v>
      </c>
      <c r="C870" s="2">
        <v>2</v>
      </c>
      <c r="D870" s="7" t="str">
        <f>VLOOKUP(C870,'ACTIVOS CODIGO'!H:I,2,0)</f>
        <v>PASIVO DE LA HACIENDA = PASIVO NO CORRIENTE</v>
      </c>
      <c r="E870" s="3"/>
      <c r="F870" s="8"/>
      <c r="G870" s="10">
        <v>299</v>
      </c>
      <c r="H870" s="10" t="str">
        <f>VLOOKUP(G870,'PUB 21'!$A$1:$B$29,2,0)</f>
        <v>HACIENDA MUNICIPAL</v>
      </c>
      <c r="K870" s="18"/>
      <c r="M870" s="27" t="str">
        <f t="shared" si="149"/>
        <v>2-2-0-29-90-00</v>
      </c>
      <c r="N870" s="27" t="str">
        <f t="shared" si="150"/>
        <v>HACIENDA MUNICIPAL</v>
      </c>
      <c r="O870" s="4">
        <f t="shared" si="146"/>
        <v>0</v>
      </c>
      <c r="Q870" s="4" t="str">
        <f t="shared" si="148"/>
        <v>2-2-0-29-90-00-000</v>
      </c>
      <c r="R870" s="4" t="str">
        <f t="shared" si="147"/>
        <v>HACIENDA MUNICIPAL</v>
      </c>
    </row>
    <row r="871" spans="1:18" ht="23.25" x14ac:dyDescent="0.2">
      <c r="A871" s="1">
        <v>2</v>
      </c>
      <c r="B871" s="6" t="str">
        <f>VLOOKUP(A871,'ACTIVOS CODIGO'!A:B,2,0)</f>
        <v>PASIVO</v>
      </c>
      <c r="C871" s="2">
        <v>2</v>
      </c>
      <c r="D871" s="7" t="str">
        <f>VLOOKUP(C871,'ACTIVOS CODIGO'!H:I,2,0)</f>
        <v>PASIVO DE LA HACIENDA = PASIVO NO CORRIENTE</v>
      </c>
      <c r="E871" s="3"/>
      <c r="F871" s="8"/>
      <c r="G871" s="10">
        <v>299</v>
      </c>
      <c r="H871" s="10" t="str">
        <f>VLOOKUP(G871,'PUB 21'!$A$1:$B$29,2,0)</f>
        <v>HACIENDA MUNICIPAL</v>
      </c>
      <c r="K871" s="18">
        <v>1</v>
      </c>
      <c r="L871" s="4" t="s">
        <v>101</v>
      </c>
      <c r="M871" s="27" t="str">
        <f t="shared" si="149"/>
        <v>2-2-0-29-90-01</v>
      </c>
      <c r="N871" s="27" t="str">
        <f t="shared" si="150"/>
        <v>HACIENDA MUNICIPAL</v>
      </c>
      <c r="O871" s="4">
        <f t="shared" si="146"/>
        <v>0</v>
      </c>
      <c r="Q871" s="4" t="str">
        <f t="shared" si="148"/>
        <v>2-2-0-29-90-01-000</v>
      </c>
      <c r="R871" s="4" t="str">
        <f t="shared" si="147"/>
        <v>HACIENDA MUNICIPAL</v>
      </c>
    </row>
    <row r="872" spans="1:18" ht="23.25" x14ac:dyDescent="0.2">
      <c r="A872" s="1">
        <v>2</v>
      </c>
      <c r="B872" s="6" t="str">
        <f>VLOOKUP(A872,'ACTIVOS CODIGO'!A:B,2,0)</f>
        <v>PASIVO</v>
      </c>
      <c r="C872" s="2">
        <v>2</v>
      </c>
      <c r="D872" s="7" t="str">
        <f>VLOOKUP(C872,'ACTIVOS CODIGO'!H:I,2,0)</f>
        <v>PASIVO DE LA HACIENDA = PASIVO NO CORRIENTE</v>
      </c>
      <c r="E872" s="3"/>
      <c r="F872" s="8"/>
      <c r="G872" s="10">
        <v>299</v>
      </c>
      <c r="H872" s="10" t="str">
        <f>VLOOKUP(G872,'PUB 21'!$A$1:$B$29,2,0)</f>
        <v>HACIENDA MUNICIPAL</v>
      </c>
      <c r="K872" s="18">
        <v>1</v>
      </c>
      <c r="L872" s="4" t="s">
        <v>101</v>
      </c>
      <c r="M872" s="27" t="str">
        <f t="shared" si="149"/>
        <v>2-2-0-29-90-01</v>
      </c>
      <c r="N872" s="27" t="str">
        <f t="shared" si="150"/>
        <v>HACIENDA MUNICIPAL</v>
      </c>
      <c r="O872" s="4">
        <f t="shared" si="146"/>
        <v>1</v>
      </c>
      <c r="P872" s="4" t="s">
        <v>101</v>
      </c>
      <c r="Q872" s="4" t="str">
        <f t="shared" si="148"/>
        <v>2-2-0-29-90-01-001</v>
      </c>
      <c r="R872" s="4" t="str">
        <f t="shared" si="147"/>
        <v>HACIENDA MUNICIPAL</v>
      </c>
    </row>
    <row r="873" spans="1:18" x14ac:dyDescent="0.2">
      <c r="A873" s="1">
        <v>3</v>
      </c>
      <c r="B873" s="6" t="str">
        <f>VLOOKUP(A873,'ACTIVOS CODIGO'!A:B,2,0)</f>
        <v>INGRESOS</v>
      </c>
      <c r="C873" s="2"/>
      <c r="D873" s="7"/>
      <c r="E873" s="3"/>
      <c r="F873" s="8"/>
      <c r="G873" s="10">
        <v>0</v>
      </c>
      <c r="H873" s="10"/>
      <c r="K873" s="18"/>
      <c r="M873" s="27" t="str">
        <f t="shared" si="149"/>
        <v>3-0-0-00-00-00</v>
      </c>
      <c r="N873" s="27" t="str">
        <f t="shared" si="150"/>
        <v>INGRESOS</v>
      </c>
      <c r="O873" s="4">
        <f t="shared" si="146"/>
        <v>0</v>
      </c>
      <c r="Q873" s="4" t="str">
        <f t="shared" si="148"/>
        <v>3-0-0-00-00-00-000</v>
      </c>
      <c r="R873" s="4" t="str">
        <f t="shared" si="147"/>
        <v>INGRESOS</v>
      </c>
    </row>
    <row r="874" spans="1:18" x14ac:dyDescent="0.2">
      <c r="A874" s="1">
        <v>3</v>
      </c>
      <c r="B874" s="6" t="str">
        <f>VLOOKUP(A874,'ACTIVOS CODIGO'!A:B,2,0)</f>
        <v>INGRESOS</v>
      </c>
      <c r="C874" s="2">
        <v>3</v>
      </c>
      <c r="D874" s="7" t="str">
        <f>VLOOKUP(C874,'ACTIVOS CODIGO'!C:D,2,0)</f>
        <v>INGRESO DE LA HACIENDA</v>
      </c>
      <c r="E874" s="3"/>
      <c r="F874" s="8"/>
      <c r="G874" s="10">
        <v>0</v>
      </c>
      <c r="H874" s="10"/>
      <c r="K874" s="18"/>
      <c r="M874" s="27" t="str">
        <f t="shared" si="149"/>
        <v>3-3-0-00-00-00</v>
      </c>
      <c r="N874" s="27" t="str">
        <f t="shared" si="150"/>
        <v>INGRESO DE LA HACIENDA</v>
      </c>
      <c r="O874" s="4">
        <f t="shared" si="146"/>
        <v>0</v>
      </c>
      <c r="Q874" s="4" t="str">
        <f t="shared" si="148"/>
        <v>3-3-0-00-00-00-000</v>
      </c>
      <c r="R874" s="4" t="str">
        <f t="shared" si="147"/>
        <v>INGRESO DE LA HACIENDA</v>
      </c>
    </row>
    <row r="875" spans="1:18" x14ac:dyDescent="0.2">
      <c r="A875" s="1">
        <v>3</v>
      </c>
      <c r="B875" s="6" t="str">
        <f>VLOOKUP(A875,'ACTIVOS CODIGO'!A:B,2,0)</f>
        <v>INGRESOS</v>
      </c>
      <c r="C875" s="2">
        <v>3</v>
      </c>
      <c r="D875" s="7" t="str">
        <f>VLOOKUP(C875,'ACTIVOS CODIGO'!C:D,2,0)</f>
        <v>INGRESO DE LA HACIENDA</v>
      </c>
      <c r="E875" s="3"/>
      <c r="F875" s="8"/>
      <c r="G875" s="10">
        <v>300</v>
      </c>
      <c r="H875" s="10" t="s">
        <v>884</v>
      </c>
      <c r="K875" s="18"/>
      <c r="L875" s="5"/>
      <c r="M875" s="27" t="str">
        <f t="shared" si="149"/>
        <v>3-3-0-30-00-00</v>
      </c>
      <c r="N875" s="27" t="str">
        <f t="shared" si="150"/>
        <v>CUENTA DE INGRESOS</v>
      </c>
      <c r="O875" s="4">
        <f t="shared" si="146"/>
        <v>0</v>
      </c>
      <c r="Q875" s="4" t="str">
        <f t="shared" si="148"/>
        <v>3-3-0-30-00-00-000</v>
      </c>
      <c r="R875" s="4" t="str">
        <f t="shared" si="147"/>
        <v>CUENTA DE INGRESOS</v>
      </c>
    </row>
    <row r="876" spans="1:18" x14ac:dyDescent="0.2">
      <c r="A876" s="1">
        <v>3</v>
      </c>
      <c r="B876" s="6" t="str">
        <f>VLOOKUP(A876,'ACTIVOS CODIGO'!A:B,2,0)</f>
        <v>INGRESOS</v>
      </c>
      <c r="C876" s="2">
        <v>3</v>
      </c>
      <c r="D876" s="7" t="str">
        <f>VLOOKUP(C876,'ACTIVOS CODIGO'!C:D,2,0)</f>
        <v>INGRESO DE LA HACIENDA</v>
      </c>
      <c r="E876" s="3"/>
      <c r="F876" s="8"/>
      <c r="G876" s="10">
        <v>301</v>
      </c>
      <c r="H876" s="10" t="s">
        <v>885</v>
      </c>
      <c r="K876" s="18"/>
      <c r="L876" s="5"/>
      <c r="M876" s="27" t="str">
        <f t="shared" si="149"/>
        <v>3-3-0-30-10-00</v>
      </c>
      <c r="N876" s="27" t="str">
        <f t="shared" si="150"/>
        <v>INGRESOS ORDINARIOS</v>
      </c>
      <c r="O876" s="4">
        <f t="shared" si="146"/>
        <v>0</v>
      </c>
      <c r="Q876" s="4" t="str">
        <f t="shared" si="148"/>
        <v>3-3-0-30-10-00-000</v>
      </c>
      <c r="R876" s="4" t="str">
        <f t="shared" si="147"/>
        <v>INGRESOS ORDINARIOS</v>
      </c>
    </row>
    <row r="877" spans="1:18" x14ac:dyDescent="0.2">
      <c r="A877" s="1">
        <v>3</v>
      </c>
      <c r="B877" s="6" t="str">
        <f>VLOOKUP(A877,'ACTIVOS CODIGO'!A:B,2,0)</f>
        <v>INGRESOS</v>
      </c>
      <c r="C877" s="2">
        <v>3</v>
      </c>
      <c r="D877" s="7" t="str">
        <f>VLOOKUP(C877,'ACTIVOS CODIGO'!C:D,2,0)</f>
        <v>INGRESO DE LA HACIENDA</v>
      </c>
      <c r="E877" s="3"/>
      <c r="F877" s="8"/>
      <c r="G877" s="10">
        <v>301</v>
      </c>
      <c r="H877" s="10" t="s">
        <v>885</v>
      </c>
      <c r="K877" s="18">
        <v>1</v>
      </c>
      <c r="L877" s="5" t="s">
        <v>886</v>
      </c>
      <c r="M877" s="27" t="str">
        <f t="shared" si="149"/>
        <v>3-3-0-30-10-01</v>
      </c>
      <c r="N877" s="27" t="str">
        <f t="shared" si="150"/>
        <v>IMPUESTO INDIRECTOS SUMAT</v>
      </c>
      <c r="O877" s="4">
        <f t="shared" si="146"/>
        <v>0</v>
      </c>
      <c r="Q877" s="4" t="str">
        <f t="shared" si="148"/>
        <v>3-3-0-30-10-01-000</v>
      </c>
      <c r="R877" s="4" t="str">
        <f t="shared" si="147"/>
        <v>IMPUESTO INDIRECTOS SUMAT</v>
      </c>
    </row>
    <row r="878" spans="1:18" x14ac:dyDescent="0.2">
      <c r="A878" s="1">
        <v>3</v>
      </c>
      <c r="B878" s="6" t="str">
        <f>VLOOKUP(A878,'ACTIVOS CODIGO'!A:B,2,0)</f>
        <v>INGRESOS</v>
      </c>
      <c r="C878" s="2">
        <v>3</v>
      </c>
      <c r="D878" s="7" t="str">
        <f>VLOOKUP(C878,'ACTIVOS CODIGO'!C:D,2,0)</f>
        <v>INGRESO DE LA HACIENDA</v>
      </c>
      <c r="E878" s="3"/>
      <c r="F878" s="8"/>
      <c r="G878" s="10">
        <v>301</v>
      </c>
      <c r="H878" s="10" t="s">
        <v>885</v>
      </c>
      <c r="K878" s="18">
        <v>1</v>
      </c>
      <c r="L878" s="5" t="s">
        <v>886</v>
      </c>
      <c r="M878" s="27" t="str">
        <f t="shared" si="149"/>
        <v>3-3-0-30-10-01</v>
      </c>
      <c r="N878" s="27" t="str">
        <f t="shared" si="150"/>
        <v>IMPUESTO INDIRECTOS SUMAT</v>
      </c>
      <c r="O878" s="4">
        <f t="shared" si="146"/>
        <v>1</v>
      </c>
      <c r="P878" s="4" t="s">
        <v>887</v>
      </c>
      <c r="Q878" s="4" t="str">
        <f t="shared" si="148"/>
        <v>3-3-0-30-10-01-001</v>
      </c>
      <c r="R878" s="4" t="str">
        <f t="shared" si="147"/>
        <v>INMUEBLES URBANOS</v>
      </c>
    </row>
    <row r="879" spans="1:18" x14ac:dyDescent="0.2">
      <c r="A879" s="1">
        <v>3</v>
      </c>
      <c r="B879" s="6" t="str">
        <f>VLOOKUP(A879,'ACTIVOS CODIGO'!A:B,2,0)</f>
        <v>INGRESOS</v>
      </c>
      <c r="C879" s="2">
        <v>3</v>
      </c>
      <c r="D879" s="7" t="str">
        <f>VLOOKUP(C879,'ACTIVOS CODIGO'!C:D,2,0)</f>
        <v>INGRESO DE LA HACIENDA</v>
      </c>
      <c r="E879" s="3"/>
      <c r="F879" s="8"/>
      <c r="G879" s="10">
        <v>301</v>
      </c>
      <c r="H879" s="10" t="s">
        <v>885</v>
      </c>
      <c r="K879" s="18">
        <v>1</v>
      </c>
      <c r="L879" s="5" t="s">
        <v>886</v>
      </c>
      <c r="M879" s="27" t="str">
        <f t="shared" si="149"/>
        <v>3-3-0-30-10-01</v>
      </c>
      <c r="N879" s="27" t="str">
        <f t="shared" si="150"/>
        <v>IMPUESTO INDIRECTOS SUMAT</v>
      </c>
      <c r="O879" s="4">
        <f t="shared" si="146"/>
        <v>2</v>
      </c>
      <c r="P879" s="4" t="s">
        <v>888</v>
      </c>
      <c r="Q879" s="4" t="str">
        <f t="shared" si="148"/>
        <v>3-3-0-30-10-01-002</v>
      </c>
      <c r="R879" s="4" t="str">
        <f t="shared" si="147"/>
        <v>ESPECTACULOS PUBLICOS</v>
      </c>
    </row>
    <row r="880" spans="1:18" x14ac:dyDescent="0.2">
      <c r="A880" s="1">
        <v>3</v>
      </c>
      <c r="B880" s="6" t="str">
        <f>VLOOKUP(A880,'ACTIVOS CODIGO'!A:B,2,0)</f>
        <v>INGRESOS</v>
      </c>
      <c r="C880" s="2">
        <v>3</v>
      </c>
      <c r="D880" s="7" t="str">
        <f>VLOOKUP(C880,'ACTIVOS CODIGO'!C:D,2,0)</f>
        <v>INGRESO DE LA HACIENDA</v>
      </c>
      <c r="E880" s="3"/>
      <c r="F880" s="8"/>
      <c r="G880" s="10">
        <v>301</v>
      </c>
      <c r="H880" s="10" t="s">
        <v>885</v>
      </c>
      <c r="K880" s="18">
        <v>1</v>
      </c>
      <c r="L880" s="5" t="s">
        <v>886</v>
      </c>
      <c r="M880" s="27" t="str">
        <f t="shared" si="149"/>
        <v>3-3-0-30-10-01</v>
      </c>
      <c r="N880" s="27" t="str">
        <f t="shared" si="150"/>
        <v>IMPUESTO INDIRECTOS SUMAT</v>
      </c>
      <c r="O880" s="4">
        <f t="shared" si="146"/>
        <v>3</v>
      </c>
      <c r="P880" s="4" t="s">
        <v>889</v>
      </c>
      <c r="Q880" s="4" t="str">
        <f t="shared" si="148"/>
        <v>3-3-0-30-10-01-003</v>
      </c>
      <c r="R880" s="4" t="str">
        <f t="shared" si="147"/>
        <v>INDUSTRIA Y COMERCIO</v>
      </c>
    </row>
    <row r="881" spans="1:18" x14ac:dyDescent="0.2">
      <c r="A881" s="1">
        <v>3</v>
      </c>
      <c r="B881" s="6" t="str">
        <f>VLOOKUP(A881,'ACTIVOS CODIGO'!A:B,2,0)</f>
        <v>INGRESOS</v>
      </c>
      <c r="C881" s="2">
        <v>3</v>
      </c>
      <c r="D881" s="7" t="str">
        <f>VLOOKUP(C881,'ACTIVOS CODIGO'!C:D,2,0)</f>
        <v>INGRESO DE LA HACIENDA</v>
      </c>
      <c r="E881" s="3"/>
      <c r="F881" s="8"/>
      <c r="G881" s="10">
        <v>301</v>
      </c>
      <c r="H881" s="10" t="s">
        <v>885</v>
      </c>
      <c r="K881" s="18">
        <v>1</v>
      </c>
      <c r="L881" s="5" t="s">
        <v>886</v>
      </c>
      <c r="M881" s="27" t="str">
        <f t="shared" si="149"/>
        <v>3-3-0-30-10-01</v>
      </c>
      <c r="N881" s="27" t="str">
        <f t="shared" si="150"/>
        <v>IMPUESTO INDIRECTOS SUMAT</v>
      </c>
      <c r="O881" s="4">
        <f t="shared" si="146"/>
        <v>4</v>
      </c>
      <c r="P881" s="4" t="s">
        <v>890</v>
      </c>
      <c r="Q881" s="4" t="str">
        <f t="shared" si="148"/>
        <v>3-3-0-30-10-01-004</v>
      </c>
      <c r="R881" s="4" t="str">
        <f t="shared" si="147"/>
        <v>PROPAGANDA COMERCIAL</v>
      </c>
    </row>
    <row r="882" spans="1:18" x14ac:dyDescent="0.2">
      <c r="A882" s="1">
        <v>3</v>
      </c>
      <c r="B882" s="6" t="str">
        <f>VLOOKUP(A882,'ACTIVOS CODIGO'!A:B,2,0)</f>
        <v>INGRESOS</v>
      </c>
      <c r="C882" s="2">
        <v>3</v>
      </c>
      <c r="D882" s="7" t="str">
        <f>VLOOKUP(C882,'ACTIVOS CODIGO'!C:D,2,0)</f>
        <v>INGRESO DE LA HACIENDA</v>
      </c>
      <c r="E882" s="3"/>
      <c r="F882" s="8"/>
      <c r="G882" s="10">
        <v>301</v>
      </c>
      <c r="H882" s="10" t="s">
        <v>885</v>
      </c>
      <c r="K882" s="18">
        <v>1</v>
      </c>
      <c r="L882" s="5" t="s">
        <v>886</v>
      </c>
      <c r="M882" s="27" t="str">
        <f t="shared" si="149"/>
        <v>3-3-0-30-10-01</v>
      </c>
      <c r="N882" s="27" t="str">
        <f t="shared" si="150"/>
        <v>IMPUESTO INDIRECTOS SUMAT</v>
      </c>
      <c r="O882" s="4">
        <f t="shared" si="146"/>
        <v>5</v>
      </c>
      <c r="P882" s="4" t="s">
        <v>891</v>
      </c>
      <c r="Q882" s="4" t="str">
        <f t="shared" si="148"/>
        <v>3-3-0-30-10-01-005</v>
      </c>
      <c r="R882" s="4" t="str">
        <f t="shared" si="147"/>
        <v>PATENTE VEHICULOS</v>
      </c>
    </row>
    <row r="883" spans="1:18" x14ac:dyDescent="0.2">
      <c r="A883" s="1">
        <v>3</v>
      </c>
      <c r="B883" s="6" t="str">
        <f>VLOOKUP(A883,'ACTIVOS CODIGO'!A:B,2,0)</f>
        <v>INGRESOS</v>
      </c>
      <c r="C883" s="2">
        <v>3</v>
      </c>
      <c r="D883" s="7" t="str">
        <f>VLOOKUP(C883,'ACTIVOS CODIGO'!C:D,2,0)</f>
        <v>INGRESO DE LA HACIENDA</v>
      </c>
      <c r="E883" s="3"/>
      <c r="F883" s="8"/>
      <c r="G883" s="10">
        <v>301</v>
      </c>
      <c r="H883" s="10" t="s">
        <v>885</v>
      </c>
      <c r="K883" s="18">
        <v>1</v>
      </c>
      <c r="L883" s="5" t="s">
        <v>886</v>
      </c>
      <c r="M883" s="27" t="str">
        <f t="shared" si="149"/>
        <v>3-3-0-30-10-01</v>
      </c>
      <c r="N883" s="27" t="str">
        <f t="shared" si="150"/>
        <v>IMPUESTO INDIRECTOS SUMAT</v>
      </c>
      <c r="O883" s="4">
        <f t="shared" si="146"/>
        <v>6</v>
      </c>
      <c r="P883" s="4" t="s">
        <v>892</v>
      </c>
      <c r="Q883" s="4" t="str">
        <f t="shared" si="148"/>
        <v>3-3-0-30-10-01-006</v>
      </c>
      <c r="R883" s="4" t="str">
        <f t="shared" si="147"/>
        <v>DEUDA MOROSA</v>
      </c>
    </row>
    <row r="884" spans="1:18" x14ac:dyDescent="0.2">
      <c r="A884" s="1">
        <v>3</v>
      </c>
      <c r="B884" s="6" t="str">
        <f>VLOOKUP(A884,'ACTIVOS CODIGO'!A:B,2,0)</f>
        <v>INGRESOS</v>
      </c>
      <c r="C884" s="2">
        <v>3</v>
      </c>
      <c r="D884" s="7" t="str">
        <f>VLOOKUP(C884,'ACTIVOS CODIGO'!C:D,2,0)</f>
        <v>INGRESO DE LA HACIENDA</v>
      </c>
      <c r="E884" s="3"/>
      <c r="F884" s="8"/>
      <c r="G884" s="10">
        <v>301</v>
      </c>
      <c r="H884" s="10" t="s">
        <v>885</v>
      </c>
      <c r="K884" s="18">
        <v>1</v>
      </c>
      <c r="L884" s="5" t="s">
        <v>886</v>
      </c>
      <c r="M884" s="27" t="str">
        <f t="shared" si="149"/>
        <v>3-3-0-30-10-01</v>
      </c>
      <c r="N884" s="27" t="str">
        <f t="shared" si="150"/>
        <v>IMPUESTO INDIRECTOS SUMAT</v>
      </c>
      <c r="O884" s="4">
        <f t="shared" si="146"/>
        <v>7</v>
      </c>
      <c r="P884" s="4" t="s">
        <v>893</v>
      </c>
      <c r="Q884" s="4" t="str">
        <f t="shared" si="148"/>
        <v>3-3-0-30-10-01-007</v>
      </c>
      <c r="R884" s="4" t="str">
        <f t="shared" si="147"/>
        <v>PORCENTAJE S/APUESTAS LICITAS</v>
      </c>
    </row>
    <row r="885" spans="1:18" x14ac:dyDescent="0.2">
      <c r="A885" s="1">
        <v>3</v>
      </c>
      <c r="B885" s="6" t="str">
        <f>VLOOKUP(A885,'ACTIVOS CODIGO'!A:B,2,0)</f>
        <v>INGRESOS</v>
      </c>
      <c r="C885" s="2">
        <v>3</v>
      </c>
      <c r="D885" s="7" t="str">
        <f>VLOOKUP(C885,'ACTIVOS CODIGO'!C:D,2,0)</f>
        <v>INGRESO DE LA HACIENDA</v>
      </c>
      <c r="E885" s="3"/>
      <c r="F885" s="8"/>
      <c r="G885" s="10">
        <v>301</v>
      </c>
      <c r="H885" s="10" t="s">
        <v>885</v>
      </c>
      <c r="K885" s="18">
        <v>1</v>
      </c>
      <c r="L885" s="5" t="s">
        <v>886</v>
      </c>
      <c r="M885" s="27" t="str">
        <f t="shared" si="149"/>
        <v>3-3-0-30-10-01</v>
      </c>
      <c r="N885" s="27" t="str">
        <f t="shared" si="150"/>
        <v>IMPUESTO INDIRECTOS SUMAT</v>
      </c>
      <c r="O885" s="4">
        <f t="shared" si="146"/>
        <v>8</v>
      </c>
      <c r="P885" s="4" t="s">
        <v>894</v>
      </c>
      <c r="Q885" s="4" t="str">
        <f t="shared" si="148"/>
        <v>3-3-0-30-10-01-008</v>
      </c>
      <c r="R885" s="4" t="str">
        <f t="shared" si="147"/>
        <v>INGRESOS DE LA PROPIEDAD</v>
      </c>
    </row>
    <row r="886" spans="1:18" x14ac:dyDescent="0.2">
      <c r="A886" s="1">
        <v>3</v>
      </c>
      <c r="B886" s="6" t="str">
        <f>VLOOKUP(A886,'ACTIVOS CODIGO'!A:B,2,0)</f>
        <v>INGRESOS</v>
      </c>
      <c r="C886" s="2">
        <v>3</v>
      </c>
      <c r="D886" s="7" t="str">
        <f>VLOOKUP(C886,'ACTIVOS CODIGO'!C:D,2,0)</f>
        <v>INGRESO DE LA HACIENDA</v>
      </c>
      <c r="E886" s="3"/>
      <c r="F886" s="8"/>
      <c r="G886" s="10">
        <v>301</v>
      </c>
      <c r="H886" s="10" t="s">
        <v>885</v>
      </c>
      <c r="K886" s="18">
        <v>1</v>
      </c>
      <c r="L886" s="5" t="s">
        <v>886</v>
      </c>
      <c r="M886" s="27" t="str">
        <f t="shared" si="149"/>
        <v>3-3-0-30-10-01</v>
      </c>
      <c r="N886" s="27" t="str">
        <f t="shared" si="150"/>
        <v>IMPUESTO INDIRECTOS SUMAT</v>
      </c>
      <c r="O886" s="4">
        <f t="shared" si="146"/>
        <v>9</v>
      </c>
      <c r="P886" s="4" t="s">
        <v>895</v>
      </c>
      <c r="Q886" s="4" t="str">
        <f t="shared" si="148"/>
        <v>3-3-0-30-10-01-009</v>
      </c>
      <c r="R886" s="4" t="str">
        <f t="shared" si="147"/>
        <v>ARRENDAMIENTO DE BIENES</v>
      </c>
    </row>
    <row r="887" spans="1:18" x14ac:dyDescent="0.2">
      <c r="A887" s="1">
        <v>3</v>
      </c>
      <c r="B887" s="6" t="str">
        <f>VLOOKUP(A887,'ACTIVOS CODIGO'!A:B,2,0)</f>
        <v>INGRESOS</v>
      </c>
      <c r="C887" s="2">
        <v>3</v>
      </c>
      <c r="D887" s="7" t="str">
        <f>VLOOKUP(C887,'ACTIVOS CODIGO'!C:D,2,0)</f>
        <v>INGRESO DE LA HACIENDA</v>
      </c>
      <c r="E887" s="3"/>
      <c r="F887" s="8"/>
      <c r="G887" s="10">
        <v>301</v>
      </c>
      <c r="H887" s="10" t="s">
        <v>885</v>
      </c>
      <c r="K887" s="18">
        <v>1</v>
      </c>
      <c r="L887" s="5" t="s">
        <v>886</v>
      </c>
      <c r="M887" s="27" t="str">
        <f t="shared" si="149"/>
        <v>3-3-0-30-10-01</v>
      </c>
      <c r="N887" s="27" t="str">
        <f t="shared" si="150"/>
        <v>IMPUESTO INDIRECTOS SUMAT</v>
      </c>
      <c r="O887" s="4">
        <f t="shared" si="146"/>
        <v>10</v>
      </c>
      <c r="P887" s="4" t="s">
        <v>896</v>
      </c>
      <c r="Q887" s="4" t="str">
        <f t="shared" si="148"/>
        <v>3-3-0-30-10-01-010</v>
      </c>
      <c r="R887" s="4" t="str">
        <f t="shared" si="147"/>
        <v>TASAS INGRESOS NO TRIBUTARIOS</v>
      </c>
    </row>
    <row r="888" spans="1:18" x14ac:dyDescent="0.2">
      <c r="A888" s="1">
        <v>3</v>
      </c>
      <c r="B888" s="6" t="str">
        <f>VLOOKUP(A888,'ACTIVOS CODIGO'!A:B,2,0)</f>
        <v>INGRESOS</v>
      </c>
      <c r="C888" s="2">
        <v>3</v>
      </c>
      <c r="D888" s="7" t="str">
        <f>VLOOKUP(C888,'ACTIVOS CODIGO'!C:D,2,0)</f>
        <v>INGRESO DE LA HACIENDA</v>
      </c>
      <c r="E888" s="3"/>
      <c r="F888" s="8"/>
      <c r="G888" s="10">
        <v>301</v>
      </c>
      <c r="H888" s="10" t="s">
        <v>885</v>
      </c>
      <c r="K888" s="18">
        <v>1</v>
      </c>
      <c r="L888" s="5" t="s">
        <v>886</v>
      </c>
      <c r="M888" s="27" t="str">
        <f t="shared" si="149"/>
        <v>3-3-0-30-10-01</v>
      </c>
      <c r="N888" s="27" t="str">
        <f t="shared" si="150"/>
        <v>IMPUESTO INDIRECTOS SUMAT</v>
      </c>
      <c r="O888" s="4">
        <f t="shared" si="146"/>
        <v>11</v>
      </c>
      <c r="P888" s="4" t="s">
        <v>897</v>
      </c>
      <c r="Q888" s="4" t="str">
        <f t="shared" si="148"/>
        <v>3-3-0-30-10-01-011</v>
      </c>
      <c r="R888" s="4" t="str">
        <f t="shared" si="147"/>
        <v>CEMENTERIOS</v>
      </c>
    </row>
    <row r="889" spans="1:18" x14ac:dyDescent="0.2">
      <c r="A889" s="1">
        <v>3</v>
      </c>
      <c r="B889" s="6" t="str">
        <f>VLOOKUP(A889,'ACTIVOS CODIGO'!A:B,2,0)</f>
        <v>INGRESOS</v>
      </c>
      <c r="C889" s="2">
        <v>3</v>
      </c>
      <c r="D889" s="7" t="str">
        <f>VLOOKUP(C889,'ACTIVOS CODIGO'!C:D,2,0)</f>
        <v>INGRESO DE LA HACIENDA</v>
      </c>
      <c r="E889" s="3"/>
      <c r="F889" s="8"/>
      <c r="G889" s="10">
        <v>301</v>
      </c>
      <c r="H889" s="10" t="s">
        <v>885</v>
      </c>
      <c r="K889" s="18">
        <v>1</v>
      </c>
      <c r="L889" s="5" t="s">
        <v>886</v>
      </c>
      <c r="M889" s="27" t="str">
        <f t="shared" si="149"/>
        <v>3-3-0-30-10-01</v>
      </c>
      <c r="N889" s="27" t="str">
        <f t="shared" si="150"/>
        <v>IMPUESTO INDIRECTOS SUMAT</v>
      </c>
      <c r="O889" s="4">
        <f t="shared" ref="O889:O953" si="151">IF(P889="",0,IF(M888=M889,IF(O888="",0,O888)+1,""))</f>
        <v>12</v>
      </c>
      <c r="P889" s="4" t="s">
        <v>898</v>
      </c>
      <c r="Q889" s="4" t="str">
        <f t="shared" si="148"/>
        <v>3-3-0-30-10-01-012</v>
      </c>
      <c r="R889" s="4" t="str">
        <f t="shared" si="147"/>
        <v>CERTIFICACION Y REGISTRO</v>
      </c>
    </row>
    <row r="890" spans="1:18" x14ac:dyDescent="0.2">
      <c r="A890" s="1">
        <v>3</v>
      </c>
      <c r="B890" s="6" t="str">
        <f>VLOOKUP(A890,'ACTIVOS CODIGO'!A:B,2,0)</f>
        <v>INGRESOS</v>
      </c>
      <c r="C890" s="2">
        <v>3</v>
      </c>
      <c r="D890" s="7" t="str">
        <f>VLOOKUP(C890,'ACTIVOS CODIGO'!C:D,2,0)</f>
        <v>INGRESO DE LA HACIENDA</v>
      </c>
      <c r="E890" s="3"/>
      <c r="F890" s="8"/>
      <c r="G890" s="10">
        <v>301</v>
      </c>
      <c r="H890" s="10" t="s">
        <v>885</v>
      </c>
      <c r="K890" s="18">
        <v>1</v>
      </c>
      <c r="L890" s="5" t="s">
        <v>886</v>
      </c>
      <c r="M890" s="27" t="str">
        <f t="shared" si="149"/>
        <v>3-3-0-30-10-01</v>
      </c>
      <c r="N890" s="27" t="str">
        <f t="shared" si="150"/>
        <v>IMPUESTO INDIRECTOS SUMAT</v>
      </c>
      <c r="O890" s="4">
        <f t="shared" si="151"/>
        <v>13</v>
      </c>
      <c r="P890" s="4" t="s">
        <v>899</v>
      </c>
      <c r="Q890" s="4" t="str">
        <f t="shared" si="148"/>
        <v>3-3-0-30-10-01-013</v>
      </c>
      <c r="R890" s="4" t="str">
        <f t="shared" si="147"/>
        <v>PERMISOS MUNICIPALES</v>
      </c>
    </row>
    <row r="891" spans="1:18" x14ac:dyDescent="0.2">
      <c r="A891" s="1">
        <v>3</v>
      </c>
      <c r="B891" s="6" t="str">
        <f>VLOOKUP(A891,'ACTIVOS CODIGO'!A:B,2,0)</f>
        <v>INGRESOS</v>
      </c>
      <c r="C891" s="2">
        <v>3</v>
      </c>
      <c r="D891" s="7" t="str">
        <f>VLOOKUP(C891,'ACTIVOS CODIGO'!C:D,2,0)</f>
        <v>INGRESO DE LA HACIENDA</v>
      </c>
      <c r="E891" s="3"/>
      <c r="F891" s="8"/>
      <c r="G891" s="10">
        <v>301</v>
      </c>
      <c r="H891" s="10" t="s">
        <v>885</v>
      </c>
      <c r="K891" s="18">
        <v>1</v>
      </c>
      <c r="L891" s="5" t="s">
        <v>886</v>
      </c>
      <c r="M891" s="27" t="str">
        <f t="shared" si="149"/>
        <v>3-3-0-30-10-01</v>
      </c>
      <c r="N891" s="27" t="str">
        <f t="shared" si="150"/>
        <v>IMPUESTO INDIRECTOS SUMAT</v>
      </c>
      <c r="O891" s="4">
        <f t="shared" si="151"/>
        <v>14</v>
      </c>
      <c r="P891" s="4" t="s">
        <v>900</v>
      </c>
      <c r="Q891" s="4" t="str">
        <f t="shared" si="148"/>
        <v>3-3-0-30-10-01-014</v>
      </c>
      <c r="R891" s="4" t="str">
        <f t="shared" ref="R891:R954" si="152">IF(P891="",IF(L891="",IF(J891="",IF(H891="",IF(F891="",IF(D891="",B891,D891),F891),H891),J891),L891),P891)</f>
        <v>MULTAS Y RECARGOS</v>
      </c>
    </row>
    <row r="892" spans="1:18" x14ac:dyDescent="0.2">
      <c r="A892" s="1">
        <v>3</v>
      </c>
      <c r="B892" s="6" t="str">
        <f>VLOOKUP(A892,'ACTIVOS CODIGO'!A:B,2,0)</f>
        <v>INGRESOS</v>
      </c>
      <c r="C892" s="2">
        <v>3</v>
      </c>
      <c r="D892" s="7" t="str">
        <f>VLOOKUP(C892,'ACTIVOS CODIGO'!C:D,2,0)</f>
        <v>INGRESO DE LA HACIENDA</v>
      </c>
      <c r="E892" s="3"/>
      <c r="F892" s="8"/>
      <c r="G892" s="10">
        <v>301</v>
      </c>
      <c r="H892" s="10" t="s">
        <v>885</v>
      </c>
      <c r="K892" s="18">
        <v>1</v>
      </c>
      <c r="L892" s="5" t="s">
        <v>886</v>
      </c>
      <c r="M892" s="27" t="str">
        <f t="shared" ref="M892:M955" si="153">CONCATENATE(TEXT(A892,"0"),"-",TEXT(C892,"0"),"-",TEXT(E892,"0"),"-",TEXT(LEFT(G892,2),"00"),"-",TEXT(RIGHT(G892,1),"0"),TEXT(I892,"0"),"-",TEXT(K892,"00"))</f>
        <v>3-3-0-30-10-01</v>
      </c>
      <c r="N892" s="27" t="str">
        <f t="shared" ref="N892:N955" si="154">IF(L892="",IF(J892="",IF(H892="",IF(F892="",IF(D892="",B892,D892),F892),H892),J892),L892)</f>
        <v>IMPUESTO INDIRECTOS SUMAT</v>
      </c>
      <c r="O892" s="4">
        <f t="shared" si="151"/>
        <v>15</v>
      </c>
      <c r="P892" s="4" t="s">
        <v>901</v>
      </c>
      <c r="Q892" s="4" t="str">
        <f t="shared" si="148"/>
        <v>3-3-0-30-10-01-015</v>
      </c>
      <c r="R892" s="4" t="str">
        <f t="shared" si="152"/>
        <v>INGRESOS RECAUDACION Y COBRO</v>
      </c>
    </row>
    <row r="893" spans="1:18" x14ac:dyDescent="0.2">
      <c r="A893" s="1">
        <v>3</v>
      </c>
      <c r="B893" s="6" t="str">
        <f>VLOOKUP(A893,'ACTIVOS CODIGO'!A:B,2,0)</f>
        <v>INGRESOS</v>
      </c>
      <c r="C893" s="2">
        <v>3</v>
      </c>
      <c r="D893" s="7" t="str">
        <f>VLOOKUP(C893,'ACTIVOS CODIGO'!C:D,2,0)</f>
        <v>INGRESO DE LA HACIENDA</v>
      </c>
      <c r="E893" s="3"/>
      <c r="F893" s="8"/>
      <c r="G893" s="10">
        <v>301</v>
      </c>
      <c r="H893" s="10" t="s">
        <v>885</v>
      </c>
      <c r="K893" s="18">
        <v>1</v>
      </c>
      <c r="L893" s="5" t="s">
        <v>886</v>
      </c>
      <c r="M893" s="27" t="str">
        <f t="shared" si="153"/>
        <v>3-3-0-30-10-01</v>
      </c>
      <c r="N893" s="27" t="str">
        <f t="shared" si="154"/>
        <v>IMPUESTO INDIRECTOS SUMAT</v>
      </c>
      <c r="O893" s="4">
        <f t="shared" si="151"/>
        <v>16</v>
      </c>
      <c r="P893" s="4" t="s">
        <v>902</v>
      </c>
      <c r="Q893" s="4" t="str">
        <f t="shared" si="148"/>
        <v>3-3-0-30-10-01-016</v>
      </c>
      <c r="R893" s="4" t="str">
        <f t="shared" si="152"/>
        <v>REINTEGRO DE CUENTADANTES</v>
      </c>
    </row>
    <row r="894" spans="1:18" x14ac:dyDescent="0.2">
      <c r="A894" s="1">
        <v>3</v>
      </c>
      <c r="B894" s="6" t="str">
        <f>VLOOKUP(A894,'ACTIVOS CODIGO'!A:B,2,0)</f>
        <v>INGRESOS</v>
      </c>
      <c r="C894" s="2">
        <v>3</v>
      </c>
      <c r="D894" s="7" t="str">
        <f>VLOOKUP(C894,'ACTIVOS CODIGO'!C:D,2,0)</f>
        <v>INGRESO DE LA HACIENDA</v>
      </c>
      <c r="E894" s="3"/>
      <c r="F894" s="8"/>
      <c r="G894" s="10">
        <v>301</v>
      </c>
      <c r="H894" s="10" t="s">
        <v>885</v>
      </c>
      <c r="K894" s="18">
        <v>1</v>
      </c>
      <c r="L894" s="5" t="s">
        <v>886</v>
      </c>
      <c r="M894" s="27" t="str">
        <f t="shared" si="153"/>
        <v>3-3-0-30-10-01</v>
      </c>
      <c r="N894" s="27" t="str">
        <f t="shared" si="154"/>
        <v>IMPUESTO INDIRECTOS SUMAT</v>
      </c>
      <c r="O894" s="4">
        <f t="shared" si="151"/>
        <v>17</v>
      </c>
      <c r="P894" s="4" t="s">
        <v>903</v>
      </c>
      <c r="Q894" s="4" t="str">
        <f t="shared" si="148"/>
        <v>3-3-0-30-10-01-017</v>
      </c>
      <c r="R894" s="4" t="str">
        <f t="shared" si="152"/>
        <v>INGRESOS NOTAS DE CREDITOS POR CREDITOS DIRECTOS SEGÚN ESTADOS DE CUENTAS</v>
      </c>
    </row>
    <row r="895" spans="1:18" x14ac:dyDescent="0.2">
      <c r="A895" s="1">
        <v>3</v>
      </c>
      <c r="B895" s="6" t="str">
        <f>VLOOKUP(A895,'ACTIVOS CODIGO'!A:B,2,0)</f>
        <v>INGRESOS</v>
      </c>
      <c r="C895" s="2">
        <v>3</v>
      </c>
      <c r="D895" s="7" t="str">
        <f>VLOOKUP(C895,'ACTIVOS CODIGO'!C:D,2,0)</f>
        <v>INGRESO DE LA HACIENDA</v>
      </c>
      <c r="E895" s="3"/>
      <c r="F895" s="8"/>
      <c r="G895" s="10">
        <v>301</v>
      </c>
      <c r="H895" s="10" t="s">
        <v>885</v>
      </c>
      <c r="K895" s="18">
        <v>1</v>
      </c>
      <c r="L895" s="5" t="s">
        <v>886</v>
      </c>
      <c r="M895" s="27" t="str">
        <f t="shared" si="153"/>
        <v>3-3-0-30-10-01</v>
      </c>
      <c r="N895" s="27" t="str">
        <f t="shared" si="154"/>
        <v>IMPUESTO INDIRECTOS SUMAT</v>
      </c>
      <c r="O895" s="4">
        <f t="shared" si="151"/>
        <v>18</v>
      </c>
      <c r="P895" s="4" t="s">
        <v>904</v>
      </c>
      <c r="Q895" s="4" t="str">
        <f t="shared" si="148"/>
        <v>3-3-0-30-10-01-018</v>
      </c>
      <c r="R895" s="4" t="str">
        <f t="shared" si="152"/>
        <v>CUENTA RECAUDAD. ASEO URBANO</v>
      </c>
    </row>
    <row r="896" spans="1:18" x14ac:dyDescent="0.2">
      <c r="A896" s="1">
        <v>3</v>
      </c>
      <c r="B896" s="6" t="str">
        <f>VLOOKUP(A896,'ACTIVOS CODIGO'!A:B,2,0)</f>
        <v>INGRESOS</v>
      </c>
      <c r="C896" s="2">
        <v>3</v>
      </c>
      <c r="D896" s="7" t="str">
        <f>VLOOKUP(C896,'ACTIVOS CODIGO'!C:D,2,0)</f>
        <v>INGRESO DE LA HACIENDA</v>
      </c>
      <c r="E896" s="3"/>
      <c r="F896" s="8"/>
      <c r="G896" s="10">
        <v>301</v>
      </c>
      <c r="H896" s="10" t="s">
        <v>885</v>
      </c>
      <c r="K896" s="18">
        <v>1</v>
      </c>
      <c r="L896" s="5" t="s">
        <v>886</v>
      </c>
      <c r="M896" s="27" t="str">
        <f t="shared" si="153"/>
        <v>3-3-0-30-10-01</v>
      </c>
      <c r="N896" s="27" t="str">
        <f t="shared" si="154"/>
        <v>IMPUESTO INDIRECTOS SUMAT</v>
      </c>
      <c r="O896" s="4">
        <f t="shared" si="151"/>
        <v>19</v>
      </c>
      <c r="P896" s="4" t="s">
        <v>905</v>
      </c>
      <c r="Q896" s="4" t="str">
        <f t="shared" si="148"/>
        <v>3-3-0-30-10-01-019</v>
      </c>
      <c r="R896" s="4" t="str">
        <f t="shared" si="152"/>
        <v>CUENTA RECAUDAD. SERDECO</v>
      </c>
    </row>
    <row r="897" spans="1:18" x14ac:dyDescent="0.2">
      <c r="A897" s="1">
        <v>3</v>
      </c>
      <c r="B897" s="6" t="str">
        <f>VLOOKUP(A897,'ACTIVOS CODIGO'!A:B,2,0)</f>
        <v>INGRESOS</v>
      </c>
      <c r="C897" s="2">
        <v>3</v>
      </c>
      <c r="D897" s="7" t="str">
        <f>VLOOKUP(C897,'ACTIVOS CODIGO'!C:D,2,0)</f>
        <v>INGRESO DE LA HACIENDA</v>
      </c>
      <c r="E897" s="3"/>
      <c r="F897" s="8"/>
      <c r="G897" s="10">
        <v>301</v>
      </c>
      <c r="H897" s="10" t="s">
        <v>885</v>
      </c>
      <c r="K897" s="18">
        <v>1</v>
      </c>
      <c r="L897" s="5" t="s">
        <v>886</v>
      </c>
      <c r="M897" s="27" t="str">
        <f t="shared" si="153"/>
        <v>3-3-0-30-10-01</v>
      </c>
      <c r="N897" s="27" t="str">
        <f t="shared" si="154"/>
        <v>IMPUESTO INDIRECTOS SUMAT</v>
      </c>
      <c r="O897" s="4">
        <f t="shared" si="151"/>
        <v>20</v>
      </c>
      <c r="P897" s="4" t="s">
        <v>906</v>
      </c>
      <c r="Q897" s="4" t="str">
        <f t="shared" si="148"/>
        <v>3-3-0-30-10-01-020</v>
      </c>
      <c r="R897" s="4" t="str">
        <f t="shared" si="152"/>
        <v>INGRESOS INTERESES CTA AHORRO</v>
      </c>
    </row>
    <row r="898" spans="1:18" x14ac:dyDescent="0.2">
      <c r="A898" s="1">
        <v>3</v>
      </c>
      <c r="B898" s="6" t="str">
        <f>VLOOKUP(A898,'ACTIVOS CODIGO'!A:B,2,0)</f>
        <v>INGRESOS</v>
      </c>
      <c r="C898" s="2">
        <v>3</v>
      </c>
      <c r="D898" s="7" t="str">
        <f>VLOOKUP(C898,'ACTIVOS CODIGO'!C:D,2,0)</f>
        <v>INGRESO DE LA HACIENDA</v>
      </c>
      <c r="E898" s="3"/>
      <c r="F898" s="8"/>
      <c r="G898" s="10">
        <v>301</v>
      </c>
      <c r="H898" s="10" t="s">
        <v>885</v>
      </c>
      <c r="K898" s="18">
        <v>1</v>
      </c>
      <c r="L898" s="5" t="s">
        <v>886</v>
      </c>
      <c r="M898" s="27" t="str">
        <f t="shared" si="153"/>
        <v>3-3-0-30-10-01</v>
      </c>
      <c r="N898" s="27" t="str">
        <f t="shared" si="154"/>
        <v>IMPUESTO INDIRECTOS SUMAT</v>
      </c>
      <c r="O898" s="4">
        <f t="shared" si="151"/>
        <v>21</v>
      </c>
      <c r="P898" s="4" t="s">
        <v>907</v>
      </c>
      <c r="Q898" s="4" t="str">
        <f t="shared" si="148"/>
        <v>3-3-0-30-10-01-021</v>
      </c>
      <c r="R898" s="4" t="str">
        <f t="shared" si="152"/>
        <v>INGRESOS VARIOS</v>
      </c>
    </row>
    <row r="899" spans="1:18" x14ac:dyDescent="0.2">
      <c r="A899" s="1">
        <v>3</v>
      </c>
      <c r="B899" s="6" t="str">
        <f>VLOOKUP(A899,'ACTIVOS CODIGO'!A:B,2,0)</f>
        <v>INGRESOS</v>
      </c>
      <c r="C899" s="2">
        <v>3</v>
      </c>
      <c r="D899" s="7" t="str">
        <f>VLOOKUP(C899,'ACTIVOS CODIGO'!C:D,2,0)</f>
        <v>INGRESO DE LA HACIENDA</v>
      </c>
      <c r="E899" s="3"/>
      <c r="F899" s="8"/>
      <c r="G899" s="10">
        <v>301</v>
      </c>
      <c r="H899" s="10" t="s">
        <v>885</v>
      </c>
      <c r="K899" s="18">
        <v>1</v>
      </c>
      <c r="L899" s="5" t="s">
        <v>886</v>
      </c>
      <c r="M899" s="27" t="str">
        <f t="shared" si="153"/>
        <v>3-3-0-30-10-01</v>
      </c>
      <c r="N899" s="27" t="str">
        <f t="shared" si="154"/>
        <v>IMPUESTO INDIRECTOS SUMAT</v>
      </c>
      <c r="O899" s="4">
        <f t="shared" si="151"/>
        <v>22</v>
      </c>
      <c r="P899" s="4" t="s">
        <v>908</v>
      </c>
      <c r="Q899" s="4" t="str">
        <f t="shared" si="148"/>
        <v>3-3-0-30-10-01-022</v>
      </c>
      <c r="R899" s="4" t="str">
        <f t="shared" si="152"/>
        <v>LEGALIZACIÓN</v>
      </c>
    </row>
    <row r="900" spans="1:18" x14ac:dyDescent="0.2">
      <c r="A900" s="1">
        <v>3</v>
      </c>
      <c r="B900" s="6" t="str">
        <f>VLOOKUP(A900,'ACTIVOS CODIGO'!A:B,2,0)</f>
        <v>INGRESOS</v>
      </c>
      <c r="C900" s="2">
        <v>3</v>
      </c>
      <c r="D900" s="7" t="str">
        <f>VLOOKUP(C900,'ACTIVOS CODIGO'!C:D,2,0)</f>
        <v>INGRESO DE LA HACIENDA</v>
      </c>
      <c r="E900" s="3"/>
      <c r="F900" s="8"/>
      <c r="G900" s="10">
        <v>301</v>
      </c>
      <c r="H900" s="10" t="s">
        <v>885</v>
      </c>
      <c r="K900" s="18">
        <v>1</v>
      </c>
      <c r="L900" s="5" t="s">
        <v>886</v>
      </c>
      <c r="M900" s="27" t="str">
        <f t="shared" si="153"/>
        <v>3-3-0-30-10-01</v>
      </c>
      <c r="N900" s="27" t="str">
        <f t="shared" si="154"/>
        <v>IMPUESTO INDIRECTOS SUMAT</v>
      </c>
      <c r="O900" s="4">
        <f t="shared" si="151"/>
        <v>23</v>
      </c>
      <c r="P900" s="4" t="s">
        <v>909</v>
      </c>
      <c r="Q900" s="4" t="str">
        <f t="shared" si="148"/>
        <v>3-3-0-30-10-01-023</v>
      </c>
      <c r="R900" s="4" t="str">
        <f t="shared" si="152"/>
        <v>INGRESOS DEL SITUADO MUNICIPAL</v>
      </c>
    </row>
    <row r="901" spans="1:18" x14ac:dyDescent="0.2">
      <c r="A901" s="1">
        <v>3</v>
      </c>
      <c r="B901" s="6" t="str">
        <f>VLOOKUP(A901,'ACTIVOS CODIGO'!A:B,2,0)</f>
        <v>INGRESOS</v>
      </c>
      <c r="C901" s="2">
        <v>3</v>
      </c>
      <c r="D901" s="7" t="str">
        <f>VLOOKUP(C901,'ACTIVOS CODIGO'!C:D,2,0)</f>
        <v>INGRESO DE LA HACIENDA</v>
      </c>
      <c r="E901" s="3"/>
      <c r="F901" s="8"/>
      <c r="G901" s="10">
        <v>301</v>
      </c>
      <c r="H901" s="10" t="s">
        <v>885</v>
      </c>
      <c r="K901" s="18">
        <v>1</v>
      </c>
      <c r="L901" s="5" t="s">
        <v>886</v>
      </c>
      <c r="M901" s="27" t="str">
        <f t="shared" si="153"/>
        <v>3-3-0-30-10-01</v>
      </c>
      <c r="N901" s="27" t="str">
        <f t="shared" si="154"/>
        <v>IMPUESTO INDIRECTOS SUMAT</v>
      </c>
      <c r="O901" s="4">
        <f t="shared" si="151"/>
        <v>24</v>
      </c>
      <c r="P901" s="4" t="s">
        <v>910</v>
      </c>
      <c r="Q901" s="4" t="str">
        <f t="shared" si="148"/>
        <v>3-3-0-30-10-01-024</v>
      </c>
      <c r="R901" s="4" t="str">
        <f t="shared" si="152"/>
        <v>REINTEGROS VARIOS</v>
      </c>
    </row>
    <row r="902" spans="1:18" x14ac:dyDescent="0.2">
      <c r="A902" s="1">
        <v>3</v>
      </c>
      <c r="B902" s="6" t="str">
        <f>VLOOKUP(A902,'ACTIVOS CODIGO'!A:B,2,0)</f>
        <v>INGRESOS</v>
      </c>
      <c r="C902" s="2">
        <v>3</v>
      </c>
      <c r="D902" s="7" t="str">
        <f>VLOOKUP(C902,'ACTIVOS CODIGO'!C:D,2,0)</f>
        <v>INGRESO DE LA HACIENDA</v>
      </c>
      <c r="E902" s="3"/>
      <c r="F902" s="8"/>
      <c r="G902" s="10">
        <v>301</v>
      </c>
      <c r="H902" s="10" t="s">
        <v>885</v>
      </c>
      <c r="K902" s="18">
        <v>1</v>
      </c>
      <c r="L902" s="5" t="s">
        <v>886</v>
      </c>
      <c r="M902" s="27" t="str">
        <f t="shared" si="153"/>
        <v>3-3-0-30-10-01</v>
      </c>
      <c r="N902" s="27" t="str">
        <f t="shared" si="154"/>
        <v>IMPUESTO INDIRECTOS SUMAT</v>
      </c>
      <c r="O902" s="4">
        <f t="shared" si="151"/>
        <v>25</v>
      </c>
      <c r="P902" s="4" t="s">
        <v>911</v>
      </c>
      <c r="Q902" s="4" t="str">
        <f t="shared" si="148"/>
        <v>3-3-0-30-10-01-025</v>
      </c>
      <c r="R902" s="4" t="str">
        <f t="shared" si="152"/>
        <v>INGRESOS ADJUDICACION DE CUENTA</v>
      </c>
    </row>
    <row r="903" spans="1:18" x14ac:dyDescent="0.2">
      <c r="A903" s="1">
        <v>3</v>
      </c>
      <c r="B903" s="6" t="str">
        <f>VLOOKUP(A903,'ACTIVOS CODIGO'!A:B,2,0)</f>
        <v>INGRESOS</v>
      </c>
      <c r="C903" s="2">
        <v>3</v>
      </c>
      <c r="D903" s="7" t="str">
        <f>VLOOKUP(C903,'ACTIVOS CODIGO'!C:D,2,0)</f>
        <v>INGRESO DE LA HACIENDA</v>
      </c>
      <c r="E903" s="3"/>
      <c r="F903" s="8"/>
      <c r="G903" s="10">
        <v>301</v>
      </c>
      <c r="H903" s="10" t="s">
        <v>885</v>
      </c>
      <c r="K903" s="18">
        <v>1</v>
      </c>
      <c r="L903" s="5" t="s">
        <v>886</v>
      </c>
      <c r="M903" s="27" t="str">
        <f t="shared" si="153"/>
        <v>3-3-0-30-10-01</v>
      </c>
      <c r="N903" s="27" t="str">
        <f t="shared" si="154"/>
        <v>IMPUESTO INDIRECTOS SUMAT</v>
      </c>
      <c r="O903" s="4">
        <f t="shared" si="151"/>
        <v>26</v>
      </c>
      <c r="P903" s="4" t="s">
        <v>912</v>
      </c>
      <c r="Q903" s="4" t="str">
        <f t="shared" si="148"/>
        <v>3-3-0-30-10-01-026</v>
      </c>
      <c r="R903" s="4" t="str">
        <f t="shared" si="152"/>
        <v>ING FONDO COMP. INTERTERRITORIAL</v>
      </c>
    </row>
    <row r="904" spans="1:18" x14ac:dyDescent="0.2">
      <c r="A904" s="1">
        <v>3</v>
      </c>
      <c r="B904" s="6" t="str">
        <f>VLOOKUP(A904,'ACTIVOS CODIGO'!A:B,2,0)</f>
        <v>INGRESOS</v>
      </c>
      <c r="C904" s="2">
        <v>3</v>
      </c>
      <c r="D904" s="7" t="str">
        <f>VLOOKUP(C904,'ACTIVOS CODIGO'!C:D,2,0)</f>
        <v>INGRESO DE LA HACIENDA</v>
      </c>
      <c r="E904" s="3"/>
      <c r="F904" s="8"/>
      <c r="G904" s="10">
        <v>301</v>
      </c>
      <c r="H904" s="10" t="s">
        <v>885</v>
      </c>
      <c r="K904" s="18">
        <v>1</v>
      </c>
      <c r="L904" s="5" t="s">
        <v>886</v>
      </c>
      <c r="M904" s="27" t="str">
        <f t="shared" si="153"/>
        <v>3-3-0-30-10-01</v>
      </c>
      <c r="N904" s="27" t="str">
        <f t="shared" si="154"/>
        <v>IMPUESTO INDIRECTOS SUMAT</v>
      </c>
      <c r="O904" s="4">
        <f t="shared" si="151"/>
        <v>27</v>
      </c>
      <c r="P904" s="4" t="s">
        <v>913</v>
      </c>
      <c r="Q904" s="4" t="str">
        <f t="shared" si="148"/>
        <v>3-3-0-30-10-01-027</v>
      </c>
      <c r="R904" s="4" t="str">
        <f t="shared" si="152"/>
        <v>ING. CRED. ADIC. VIA BCV</v>
      </c>
    </row>
    <row r="905" spans="1:18" x14ac:dyDescent="0.2">
      <c r="A905" s="1">
        <v>3</v>
      </c>
      <c r="B905" s="6" t="str">
        <f>VLOOKUP(A905,'ACTIVOS CODIGO'!A:B,2,0)</f>
        <v>INGRESOS</v>
      </c>
      <c r="C905" s="2">
        <v>3</v>
      </c>
      <c r="D905" s="7" t="str">
        <f>VLOOKUP(C905,'ACTIVOS CODIGO'!C:D,2,0)</f>
        <v>INGRESO DE LA HACIENDA</v>
      </c>
      <c r="E905" s="3"/>
      <c r="F905" s="8"/>
      <c r="G905" s="10">
        <v>301</v>
      </c>
      <c r="H905" s="10" t="s">
        <v>885</v>
      </c>
      <c r="K905" s="18">
        <v>1</v>
      </c>
      <c r="L905" s="5" t="s">
        <v>886</v>
      </c>
      <c r="M905" s="27" t="str">
        <f t="shared" si="153"/>
        <v>3-3-0-30-10-01</v>
      </c>
      <c r="N905" s="27" t="str">
        <f t="shared" si="154"/>
        <v>IMPUESTO INDIRECTOS SUMAT</v>
      </c>
      <c r="O905" s="4">
        <f t="shared" si="151"/>
        <v>28</v>
      </c>
      <c r="P905" s="4" t="s">
        <v>914</v>
      </c>
      <c r="Q905" s="4" t="str">
        <f t="shared" si="148"/>
        <v>3-3-0-30-10-01-028</v>
      </c>
      <c r="R905" s="4" t="str">
        <f t="shared" si="152"/>
        <v>VENTA GACETAS/FORMULARIOS</v>
      </c>
    </row>
    <row r="906" spans="1:18" x14ac:dyDescent="0.2">
      <c r="A906" s="1">
        <v>3</v>
      </c>
      <c r="B906" s="6" t="str">
        <f>VLOOKUP(A906,'ACTIVOS CODIGO'!A:B,2,0)</f>
        <v>INGRESOS</v>
      </c>
      <c r="C906" s="2">
        <v>3</v>
      </c>
      <c r="D906" s="7" t="str">
        <f>VLOOKUP(C906,'ACTIVOS CODIGO'!C:D,2,0)</f>
        <v>INGRESO DE LA HACIENDA</v>
      </c>
      <c r="E906" s="3"/>
      <c r="F906" s="8"/>
      <c r="G906" s="10">
        <v>301</v>
      </c>
      <c r="H906" s="10" t="s">
        <v>885</v>
      </c>
      <c r="K906" s="18">
        <v>1</v>
      </c>
      <c r="L906" s="5" t="s">
        <v>886</v>
      </c>
      <c r="M906" s="27" t="str">
        <f t="shared" si="153"/>
        <v>3-3-0-30-10-01</v>
      </c>
      <c r="N906" s="27" t="str">
        <f t="shared" si="154"/>
        <v>IMPUESTO INDIRECTOS SUMAT</v>
      </c>
      <c r="O906" s="4">
        <f t="shared" si="151"/>
        <v>29</v>
      </c>
      <c r="P906" s="4" t="s">
        <v>915</v>
      </c>
      <c r="Q906" s="4" t="str">
        <f t="shared" si="148"/>
        <v>3-3-0-30-10-01-029</v>
      </c>
      <c r="R906" s="4" t="str">
        <f t="shared" si="152"/>
        <v>INGRESOS NO TRIBUTARIOS</v>
      </c>
    </row>
    <row r="907" spans="1:18" x14ac:dyDescent="0.2">
      <c r="A907" s="1">
        <v>3</v>
      </c>
      <c r="B907" s="6" t="str">
        <f>VLOOKUP(A907,'ACTIVOS CODIGO'!A:B,2,0)</f>
        <v>INGRESOS</v>
      </c>
      <c r="C907" s="2">
        <v>3</v>
      </c>
      <c r="D907" s="7" t="str">
        <f>VLOOKUP(C907,'ACTIVOS CODIGO'!C:D,2,0)</f>
        <v>INGRESO DE LA HACIENDA</v>
      </c>
      <c r="E907" s="3"/>
      <c r="F907" s="8"/>
      <c r="G907" s="10">
        <v>301</v>
      </c>
      <c r="H907" s="10" t="s">
        <v>885</v>
      </c>
      <c r="K907" s="18">
        <v>1</v>
      </c>
      <c r="L907" s="5" t="s">
        <v>886</v>
      </c>
      <c r="M907" s="27" t="str">
        <f t="shared" si="153"/>
        <v>3-3-0-30-10-01</v>
      </c>
      <c r="N907" s="27" t="str">
        <f t="shared" si="154"/>
        <v>IMPUESTO INDIRECTOS SUMAT</v>
      </c>
      <c r="O907" s="4">
        <f t="shared" si="151"/>
        <v>30</v>
      </c>
      <c r="P907" s="4" t="s">
        <v>916</v>
      </c>
      <c r="Q907" s="4" t="str">
        <f t="shared" si="148"/>
        <v>3-3-0-30-10-01-030</v>
      </c>
      <c r="R907" s="4" t="str">
        <f t="shared" si="152"/>
        <v>REINTEGROS ENTES DESCENTRALIZADOS</v>
      </c>
    </row>
    <row r="908" spans="1:18" x14ac:dyDescent="0.2">
      <c r="A908" s="1">
        <v>3</v>
      </c>
      <c r="B908" s="6" t="str">
        <f>VLOOKUP(A908,'ACTIVOS CODIGO'!A:B,2,0)</f>
        <v>INGRESOS</v>
      </c>
      <c r="C908" s="2">
        <v>3</v>
      </c>
      <c r="D908" s="7" t="str">
        <f>VLOOKUP(C908,'ACTIVOS CODIGO'!C:D,2,0)</f>
        <v>INGRESO DE LA HACIENDA</v>
      </c>
      <c r="E908" s="3"/>
      <c r="F908" s="8"/>
      <c r="G908" s="10">
        <v>301</v>
      </c>
      <c r="H908" s="10" t="s">
        <v>885</v>
      </c>
      <c r="K908" s="18">
        <v>1</v>
      </c>
      <c r="L908" s="5" t="s">
        <v>886</v>
      </c>
      <c r="M908" s="27" t="str">
        <f t="shared" si="153"/>
        <v>3-3-0-30-10-01</v>
      </c>
      <c r="N908" s="27" t="str">
        <f t="shared" si="154"/>
        <v>IMPUESTO INDIRECTOS SUMAT</v>
      </c>
      <c r="O908" s="4">
        <f t="shared" si="151"/>
        <v>31</v>
      </c>
      <c r="P908" s="4" t="s">
        <v>917</v>
      </c>
      <c r="Q908" s="4" t="str">
        <f t="shared" si="148"/>
        <v>3-3-0-30-10-01-031</v>
      </c>
      <c r="R908" s="4" t="str">
        <f t="shared" si="152"/>
        <v>REINTEGRO POLIZA HCM</v>
      </c>
    </row>
    <row r="909" spans="1:18" x14ac:dyDescent="0.2">
      <c r="A909" s="1">
        <v>3</v>
      </c>
      <c r="B909" s="6" t="str">
        <f>VLOOKUP(A909,'ACTIVOS CODIGO'!A:B,2,0)</f>
        <v>INGRESOS</v>
      </c>
      <c r="C909" s="2">
        <v>3</v>
      </c>
      <c r="D909" s="7" t="str">
        <f>VLOOKUP(C909,'ACTIVOS CODIGO'!C:D,2,0)</f>
        <v>INGRESO DE LA HACIENDA</v>
      </c>
      <c r="E909" s="3"/>
      <c r="F909" s="8"/>
      <c r="G909" s="10">
        <v>301</v>
      </c>
      <c r="H909" s="10" t="s">
        <v>885</v>
      </c>
      <c r="K909" s="18">
        <v>1</v>
      </c>
      <c r="L909" s="5" t="s">
        <v>886</v>
      </c>
      <c r="M909" s="27" t="str">
        <f t="shared" si="153"/>
        <v>3-3-0-30-10-01</v>
      </c>
      <c r="N909" s="27" t="str">
        <f t="shared" si="154"/>
        <v>IMPUESTO INDIRECTOS SUMAT</v>
      </c>
      <c r="O909" s="4">
        <f t="shared" si="151"/>
        <v>32</v>
      </c>
      <c r="P909" s="4" t="s">
        <v>918</v>
      </c>
      <c r="Q909" s="4" t="str">
        <f t="shared" si="148"/>
        <v>3-3-0-30-10-01-032</v>
      </c>
      <c r="R909" s="4" t="str">
        <f t="shared" si="152"/>
        <v>REINTEGRO PAGOS INDEBIDOS</v>
      </c>
    </row>
    <row r="910" spans="1:18" x14ac:dyDescent="0.2">
      <c r="A910" s="1">
        <v>3</v>
      </c>
      <c r="B910" s="6" t="str">
        <f>VLOOKUP(A910,'ACTIVOS CODIGO'!A:B,2,0)</f>
        <v>INGRESOS</v>
      </c>
      <c r="C910" s="2">
        <v>3</v>
      </c>
      <c r="D910" s="7" t="str">
        <f>VLOOKUP(C910,'ACTIVOS CODIGO'!C:D,2,0)</f>
        <v>INGRESO DE LA HACIENDA</v>
      </c>
      <c r="E910" s="3"/>
      <c r="F910" s="8"/>
      <c r="G910" s="10">
        <v>301</v>
      </c>
      <c r="H910" s="10" t="s">
        <v>885</v>
      </c>
      <c r="K910" s="18">
        <v>1</v>
      </c>
      <c r="L910" s="5" t="s">
        <v>886</v>
      </c>
      <c r="M910" s="27" t="str">
        <f t="shared" si="153"/>
        <v>3-3-0-30-10-01</v>
      </c>
      <c r="N910" s="27" t="str">
        <f t="shared" si="154"/>
        <v>IMPUESTO INDIRECTOS SUMAT</v>
      </c>
      <c r="O910" s="4">
        <f t="shared" si="151"/>
        <v>33</v>
      </c>
      <c r="P910" s="4" t="s">
        <v>919</v>
      </c>
      <c r="Q910" s="4" t="str">
        <f t="shared" si="148"/>
        <v>3-3-0-30-10-01-033</v>
      </c>
      <c r="R910" s="4" t="str">
        <f t="shared" si="152"/>
        <v>INGRESOS EXTRAORDINARIOS</v>
      </c>
    </row>
    <row r="911" spans="1:18" x14ac:dyDescent="0.2">
      <c r="A911" s="1">
        <v>4</v>
      </c>
      <c r="B911" s="6" t="str">
        <f>VLOOKUP(A911,'ACTIVOS CODIGO'!A:B,2,0)</f>
        <v>GASTOS</v>
      </c>
      <c r="C911" s="2"/>
      <c r="D911" s="7"/>
      <c r="E911" s="3"/>
      <c r="F911" s="8"/>
      <c r="G911" s="10">
        <v>0</v>
      </c>
      <c r="H911" s="10"/>
      <c r="K911" s="18"/>
      <c r="L911" s="5"/>
      <c r="M911" s="27" t="str">
        <f t="shared" si="153"/>
        <v>4-0-0-00-00-00</v>
      </c>
      <c r="N911" s="27" t="str">
        <f t="shared" si="154"/>
        <v>GASTOS</v>
      </c>
      <c r="O911" s="4">
        <f t="shared" si="151"/>
        <v>0</v>
      </c>
      <c r="Q911" s="4" t="str">
        <f t="shared" si="148"/>
        <v>4-0-0-00-00-00-000</v>
      </c>
      <c r="R911" s="4" t="str">
        <f t="shared" si="152"/>
        <v>GASTOS</v>
      </c>
    </row>
    <row r="912" spans="1:18" x14ac:dyDescent="0.2">
      <c r="A912" s="1">
        <v>4</v>
      </c>
      <c r="B912" s="6" t="str">
        <f>VLOOKUP(A912,'ACTIVOS CODIGO'!A:B,2,0)</f>
        <v>GASTOS</v>
      </c>
      <c r="C912" s="2">
        <v>4</v>
      </c>
      <c r="D912" s="7" t="str">
        <f>VLOOKUP(C912,'ACTIVOS CODIGO'!C:D,2,0)</f>
        <v>CUENTA DE GASTO HACIENDA</v>
      </c>
      <c r="E912" s="3"/>
      <c r="F912" s="8"/>
      <c r="G912" s="10">
        <v>0</v>
      </c>
      <c r="H912" s="10"/>
      <c r="K912" s="18"/>
      <c r="L912" s="5"/>
      <c r="M912" s="27" t="str">
        <f t="shared" si="153"/>
        <v>4-4-0-00-00-00</v>
      </c>
      <c r="N912" s="27" t="str">
        <f t="shared" si="154"/>
        <v>CUENTA DE GASTO HACIENDA</v>
      </c>
      <c r="O912" s="4">
        <f t="shared" si="151"/>
        <v>0</v>
      </c>
      <c r="Q912" s="4" t="str">
        <f t="shared" si="148"/>
        <v>4-4-0-00-00-00-000</v>
      </c>
      <c r="R912" s="4" t="str">
        <f t="shared" si="152"/>
        <v>CUENTA DE GASTO HACIENDA</v>
      </c>
    </row>
    <row r="913" spans="1:18" x14ac:dyDescent="0.2">
      <c r="A913" s="1">
        <v>4</v>
      </c>
      <c r="B913" s="6" t="str">
        <f>VLOOKUP(A913,'ACTIVOS CODIGO'!A:B,2,0)</f>
        <v>GASTOS</v>
      </c>
      <c r="C913" s="2">
        <v>4</v>
      </c>
      <c r="D913" s="7" t="str">
        <f>VLOOKUP(C913,'ACTIVOS CODIGO'!C:D,2,0)</f>
        <v>CUENTA DE GASTO HACIENDA</v>
      </c>
      <c r="E913" s="3"/>
      <c r="F913" s="8"/>
      <c r="G913" s="10">
        <v>0</v>
      </c>
      <c r="H913" s="10"/>
      <c r="K913" s="18">
        <v>1</v>
      </c>
      <c r="L913" s="5" t="s">
        <v>921</v>
      </c>
      <c r="M913" s="27" t="str">
        <f t="shared" si="153"/>
        <v>4-4-0-00-00-01</v>
      </c>
      <c r="N913" s="27" t="str">
        <f t="shared" si="154"/>
        <v>GASTO PRESUPUESTARIOS</v>
      </c>
      <c r="O913" s="4">
        <f t="shared" si="151"/>
        <v>0</v>
      </c>
      <c r="Q913" s="4" t="str">
        <f t="shared" si="148"/>
        <v>4-4-0-00-00-01-000</v>
      </c>
      <c r="R913" s="4" t="str">
        <f t="shared" si="152"/>
        <v>GASTO PRESUPUESTARIOS</v>
      </c>
    </row>
    <row r="914" spans="1:18" x14ac:dyDescent="0.2">
      <c r="A914" s="1">
        <v>4</v>
      </c>
      <c r="B914" s="6" t="str">
        <f>VLOOKUP(A914,'ACTIVOS CODIGO'!A:B,2,0)</f>
        <v>GASTOS</v>
      </c>
      <c r="C914" s="2">
        <v>4</v>
      </c>
      <c r="D914" s="7" t="str">
        <f>VLOOKUP(C914,'ACTIVOS CODIGO'!C:D,2,0)</f>
        <v>CUENTA DE GASTO HACIENDA</v>
      </c>
      <c r="E914" s="3"/>
      <c r="F914" s="8"/>
      <c r="G914" s="10">
        <v>0</v>
      </c>
      <c r="H914" s="10"/>
      <c r="K914" s="18">
        <v>1</v>
      </c>
      <c r="L914" s="5" t="s">
        <v>921</v>
      </c>
      <c r="M914" s="27" t="str">
        <f t="shared" si="153"/>
        <v>4-4-0-00-00-01</v>
      </c>
      <c r="N914" s="27" t="str">
        <f t="shared" si="154"/>
        <v>GASTO PRESUPUESTARIOS</v>
      </c>
      <c r="O914" s="4">
        <f t="shared" si="151"/>
        <v>1</v>
      </c>
      <c r="P914" s="4" t="s">
        <v>922</v>
      </c>
      <c r="Q914" s="4" t="str">
        <f t="shared" ref="Q914:Q955" si="155">CONCATENATE(TEXT(A914,"0"),"-",TEXT(C914,"0"),"-",TEXT(E914,"0"),"-",TEXT(LEFT(G914,2),"00"),"-",TEXT(RIGHT(G914,1),"0"),TEXT(I914,"0"),"-",TEXT(K914,"00"),"-",TEXT(O914,"000"))</f>
        <v>4-4-0-00-00-01-001</v>
      </c>
      <c r="R914" s="4" t="str">
        <f t="shared" si="152"/>
        <v>GASTOS CAUSADOS</v>
      </c>
    </row>
    <row r="915" spans="1:18" x14ac:dyDescent="0.2">
      <c r="A915" s="1">
        <v>4</v>
      </c>
      <c r="B915" s="6" t="str">
        <f>VLOOKUP(A915,'ACTIVOS CODIGO'!A:B,2,0)</f>
        <v>GASTOS</v>
      </c>
      <c r="C915" s="2">
        <v>4</v>
      </c>
      <c r="D915" s="7" t="str">
        <f>VLOOKUP(C915,'ACTIVOS CODIGO'!C:D,2,0)</f>
        <v>CUENTA DE GASTO HACIENDA</v>
      </c>
      <c r="E915" s="3"/>
      <c r="F915" s="8"/>
      <c r="G915" s="10">
        <v>0</v>
      </c>
      <c r="H915" s="10"/>
      <c r="K915" s="18">
        <v>1</v>
      </c>
      <c r="L915" s="5" t="s">
        <v>921</v>
      </c>
      <c r="M915" s="27" t="str">
        <f t="shared" si="153"/>
        <v>4-4-0-00-00-01</v>
      </c>
      <c r="N915" s="27" t="str">
        <f t="shared" si="154"/>
        <v>GASTO PRESUPUESTARIOS</v>
      </c>
      <c r="O915" s="4">
        <f t="shared" si="151"/>
        <v>2</v>
      </c>
      <c r="P915" s="4" t="s">
        <v>923</v>
      </c>
      <c r="Q915" s="4" t="str">
        <f t="shared" si="155"/>
        <v>4-4-0-00-00-01-002</v>
      </c>
      <c r="R915" s="4" t="str">
        <f t="shared" si="152"/>
        <v>GASTOS CAUSADOS FIDEICOMISOS</v>
      </c>
    </row>
    <row r="916" spans="1:18" x14ac:dyDescent="0.2">
      <c r="A916" s="1">
        <v>4</v>
      </c>
      <c r="B916" s="6" t="str">
        <f>VLOOKUP(A916,'ACTIVOS CODIGO'!A:B,2,0)</f>
        <v>GASTOS</v>
      </c>
      <c r="C916" s="2">
        <v>4</v>
      </c>
      <c r="D916" s="7" t="str">
        <f>VLOOKUP(C916,'ACTIVOS CODIGO'!C:D,2,0)</f>
        <v>CUENTA DE GASTO HACIENDA</v>
      </c>
      <c r="E916" s="3"/>
      <c r="F916" s="8"/>
      <c r="G916" s="10">
        <v>0</v>
      </c>
      <c r="H916" s="10"/>
      <c r="K916" s="18">
        <v>1</v>
      </c>
      <c r="L916" s="5" t="s">
        <v>921</v>
      </c>
      <c r="M916" s="27" t="str">
        <f t="shared" si="153"/>
        <v>4-4-0-00-00-01</v>
      </c>
      <c r="N916" s="27" t="str">
        <f t="shared" si="154"/>
        <v>GASTO PRESUPUESTARIOS</v>
      </c>
      <c r="O916" s="4">
        <f t="shared" si="151"/>
        <v>3</v>
      </c>
      <c r="P916" s="4" t="s">
        <v>924</v>
      </c>
      <c r="Q916" s="4" t="str">
        <f t="shared" si="155"/>
        <v>4-4-0-00-00-01-003</v>
      </c>
      <c r="R916" s="4" t="str">
        <f t="shared" si="152"/>
        <v>GASTOS ENTES CENTRALIZADOS</v>
      </c>
    </row>
    <row r="917" spans="1:18" x14ac:dyDescent="0.2">
      <c r="A917" s="1">
        <v>4</v>
      </c>
      <c r="B917" s="6" t="str">
        <f>VLOOKUP(A917,'ACTIVOS CODIGO'!A:B,2,0)</f>
        <v>GASTOS</v>
      </c>
      <c r="C917" s="2">
        <v>4</v>
      </c>
      <c r="D917" s="7" t="str">
        <f>VLOOKUP(C917,'ACTIVOS CODIGO'!C:D,2,0)</f>
        <v>CUENTA DE GASTO HACIENDA</v>
      </c>
      <c r="E917" s="3"/>
      <c r="F917" s="8"/>
      <c r="G917" s="10">
        <v>0</v>
      </c>
      <c r="H917" s="10"/>
      <c r="K917" s="18">
        <v>1</v>
      </c>
      <c r="L917" s="5" t="s">
        <v>921</v>
      </c>
      <c r="M917" s="27" t="str">
        <f t="shared" si="153"/>
        <v>4-4-0-00-00-01</v>
      </c>
      <c r="N917" s="27" t="str">
        <f t="shared" si="154"/>
        <v>GASTO PRESUPUESTARIOS</v>
      </c>
      <c r="O917" s="4">
        <f t="shared" si="151"/>
        <v>4</v>
      </c>
      <c r="P917" s="4" t="s">
        <v>925</v>
      </c>
      <c r="Q917" s="4" t="str">
        <f t="shared" si="155"/>
        <v>4-4-0-00-00-01-004</v>
      </c>
      <c r="R917" s="4" t="str">
        <f t="shared" si="152"/>
        <v>GASTOS ENTES DESCENTRALIZADOS</v>
      </c>
    </row>
    <row r="918" spans="1:18" x14ac:dyDescent="0.2">
      <c r="A918" s="1">
        <v>4</v>
      </c>
      <c r="B918" s="6" t="str">
        <f>VLOOKUP(A918,'ACTIVOS CODIGO'!A:B,2,0)</f>
        <v>GASTOS</v>
      </c>
      <c r="C918" s="2">
        <v>4</v>
      </c>
      <c r="D918" s="7" t="str">
        <f>VLOOKUP(C918,'ACTIVOS CODIGO'!C:D,2,0)</f>
        <v>CUENTA DE GASTO HACIENDA</v>
      </c>
      <c r="E918" s="3"/>
      <c r="F918" s="8"/>
      <c r="G918" s="10">
        <v>0</v>
      </c>
      <c r="H918" s="10"/>
      <c r="K918" s="18">
        <v>1</v>
      </c>
      <c r="L918" s="5" t="s">
        <v>921</v>
      </c>
      <c r="M918" s="27" t="str">
        <f t="shared" si="153"/>
        <v>4-4-0-00-00-01</v>
      </c>
      <c r="N918" s="27" t="str">
        <f t="shared" si="154"/>
        <v>GASTO PRESUPUESTARIOS</v>
      </c>
      <c r="O918" s="4">
        <f t="shared" si="151"/>
        <v>5</v>
      </c>
      <c r="P918" s="4" t="s">
        <v>926</v>
      </c>
      <c r="Q918" s="4" t="str">
        <f t="shared" si="155"/>
        <v>4-4-0-00-00-01-005</v>
      </c>
      <c r="R918" s="4" t="str">
        <f t="shared" si="152"/>
        <v>GASTOS  O/P DIRECTAS</v>
      </c>
    </row>
    <row r="919" spans="1:18" x14ac:dyDescent="0.2">
      <c r="A919" s="1">
        <v>4</v>
      </c>
      <c r="B919" s="6" t="str">
        <f>VLOOKUP(A919,'ACTIVOS CODIGO'!A:B,2,0)</f>
        <v>GASTOS</v>
      </c>
      <c r="C919" s="2">
        <v>4</v>
      </c>
      <c r="D919" s="7" t="str">
        <f>VLOOKUP(C919,'ACTIVOS CODIGO'!C:D,2,0)</f>
        <v>CUENTA DE GASTO HACIENDA</v>
      </c>
      <c r="E919" s="3"/>
      <c r="F919" s="8"/>
      <c r="G919" s="10">
        <v>0</v>
      </c>
      <c r="H919" s="10"/>
      <c r="K919" s="18">
        <v>1</v>
      </c>
      <c r="L919" s="5" t="s">
        <v>921</v>
      </c>
      <c r="M919" s="27" t="str">
        <f t="shared" si="153"/>
        <v>4-4-0-00-00-01</v>
      </c>
      <c r="N919" s="27" t="str">
        <f t="shared" si="154"/>
        <v>GASTO PRESUPUESTARIOS</v>
      </c>
      <c r="O919" s="4">
        <f t="shared" si="151"/>
        <v>6</v>
      </c>
      <c r="P919" s="4" t="s">
        <v>927</v>
      </c>
      <c r="Q919" s="4" t="str">
        <f t="shared" si="155"/>
        <v>4-4-0-00-00-01-006</v>
      </c>
      <c r="R919" s="4" t="str">
        <f t="shared" si="152"/>
        <v>GASTOS RETENCION IVA</v>
      </c>
    </row>
    <row r="920" spans="1:18" x14ac:dyDescent="0.2">
      <c r="A920" s="1">
        <v>4</v>
      </c>
      <c r="B920" s="6" t="str">
        <f>VLOOKUP(A920,'ACTIVOS CODIGO'!A:B,2,0)</f>
        <v>GASTOS</v>
      </c>
      <c r="C920" s="2">
        <v>4</v>
      </c>
      <c r="D920" s="7" t="str">
        <f>VLOOKUP(C920,'ACTIVOS CODIGO'!C:D,2,0)</f>
        <v>CUENTA DE GASTO HACIENDA</v>
      </c>
      <c r="E920" s="3"/>
      <c r="F920" s="8"/>
      <c r="G920" s="10">
        <v>0</v>
      </c>
      <c r="H920" s="10"/>
      <c r="K920" s="18">
        <v>1</v>
      </c>
      <c r="L920" s="5" t="s">
        <v>921</v>
      </c>
      <c r="M920" s="27" t="str">
        <f t="shared" si="153"/>
        <v>4-4-0-00-00-01</v>
      </c>
      <c r="N920" s="27" t="str">
        <f t="shared" si="154"/>
        <v>GASTO PRESUPUESTARIOS</v>
      </c>
      <c r="O920" s="4">
        <f t="shared" si="151"/>
        <v>7</v>
      </c>
      <c r="P920" s="4" t="s">
        <v>928</v>
      </c>
      <c r="Q920" s="4" t="str">
        <f t="shared" si="155"/>
        <v>4-4-0-00-00-01-007</v>
      </c>
      <c r="R920" s="4" t="str">
        <f t="shared" si="152"/>
        <v>GASTOS ADM. CESTA TICKETS</v>
      </c>
    </row>
    <row r="921" spans="1:18" x14ac:dyDescent="0.2">
      <c r="A921" s="1">
        <v>4</v>
      </c>
      <c r="B921" s="6" t="str">
        <f>VLOOKUP(A921,'ACTIVOS CODIGO'!A:B,2,0)</f>
        <v>GASTOS</v>
      </c>
      <c r="C921" s="2">
        <v>4</v>
      </c>
      <c r="D921" s="7" t="str">
        <f>VLOOKUP(C921,'ACTIVOS CODIGO'!C:D,2,0)</f>
        <v>CUENTA DE GASTO HACIENDA</v>
      </c>
      <c r="E921" s="3"/>
      <c r="F921" s="8"/>
      <c r="G921" s="10">
        <v>0</v>
      </c>
      <c r="H921" s="10"/>
      <c r="K921" s="18">
        <v>1</v>
      </c>
      <c r="L921" s="5" t="s">
        <v>921</v>
      </c>
      <c r="M921" s="27" t="str">
        <f t="shared" si="153"/>
        <v>4-4-0-00-00-01</v>
      </c>
      <c r="N921" s="27" t="str">
        <f t="shared" si="154"/>
        <v>GASTO PRESUPUESTARIOS</v>
      </c>
      <c r="O921" s="4">
        <f t="shared" si="151"/>
        <v>8</v>
      </c>
      <c r="P921" s="4" t="s">
        <v>929</v>
      </c>
      <c r="Q921" s="4" t="str">
        <f t="shared" si="155"/>
        <v>4-4-0-00-00-01-008</v>
      </c>
      <c r="R921" s="4" t="str">
        <f t="shared" si="152"/>
        <v>GASTOS RETENCION ISRL BCV</v>
      </c>
    </row>
    <row r="922" spans="1:18" x14ac:dyDescent="0.2">
      <c r="A922" s="1">
        <v>4</v>
      </c>
      <c r="B922" s="6" t="str">
        <f>VLOOKUP(A922,'ACTIVOS CODIGO'!A:B,2,0)</f>
        <v>GASTOS</v>
      </c>
      <c r="C922" s="2">
        <v>4</v>
      </c>
      <c r="D922" s="7" t="str">
        <f>VLOOKUP(C922,'ACTIVOS CODIGO'!C:D,2,0)</f>
        <v>CUENTA DE GASTO HACIENDA</v>
      </c>
      <c r="E922" s="3"/>
      <c r="F922" s="8"/>
      <c r="G922" s="10">
        <v>0</v>
      </c>
      <c r="H922" s="10"/>
      <c r="K922" s="18">
        <v>1</v>
      </c>
      <c r="L922" s="5" t="s">
        <v>921</v>
      </c>
      <c r="M922" s="27" t="str">
        <f t="shared" si="153"/>
        <v>4-4-0-00-00-01</v>
      </c>
      <c r="N922" s="27" t="str">
        <f t="shared" si="154"/>
        <v>GASTO PRESUPUESTARIOS</v>
      </c>
      <c r="O922" s="4">
        <f t="shared" si="151"/>
        <v>9</v>
      </c>
      <c r="P922" s="4" t="s">
        <v>930</v>
      </c>
      <c r="Q922" s="4" t="str">
        <f t="shared" si="155"/>
        <v>4-4-0-00-00-01-009</v>
      </c>
      <c r="R922" s="4" t="str">
        <f t="shared" si="152"/>
        <v>GASTOS RETENC. IMPUESTO MCPAL</v>
      </c>
    </row>
    <row r="923" spans="1:18" x14ac:dyDescent="0.2">
      <c r="A923" s="1">
        <v>4</v>
      </c>
      <c r="B923" s="6" t="str">
        <f>VLOOKUP(A923,'ACTIVOS CODIGO'!A:B,2,0)</f>
        <v>GASTOS</v>
      </c>
      <c r="C923" s="2">
        <v>4</v>
      </c>
      <c r="D923" s="7" t="str">
        <f>VLOOKUP(C923,'ACTIVOS CODIGO'!C:D,2,0)</f>
        <v>CUENTA DE GASTO HACIENDA</v>
      </c>
      <c r="E923" s="3"/>
      <c r="F923" s="8"/>
      <c r="G923" s="10">
        <v>0</v>
      </c>
      <c r="H923" s="10"/>
      <c r="K923" s="18">
        <v>1</v>
      </c>
      <c r="L923" s="5" t="s">
        <v>921</v>
      </c>
      <c r="M923" s="27" t="str">
        <f t="shared" si="153"/>
        <v>4-4-0-00-00-01</v>
      </c>
      <c r="N923" s="27" t="str">
        <f t="shared" si="154"/>
        <v>GASTO PRESUPUESTARIOS</v>
      </c>
      <c r="O923" s="4">
        <f t="shared" si="151"/>
        <v>10</v>
      </c>
      <c r="P923" s="4" t="s">
        <v>931</v>
      </c>
      <c r="Q923" s="4" t="str">
        <f t="shared" si="155"/>
        <v>4-4-0-00-00-01-010</v>
      </c>
      <c r="R923" s="4" t="str">
        <f t="shared" si="152"/>
        <v>GASTO RETENCION TIMBRE FISCAL</v>
      </c>
    </row>
    <row r="924" spans="1:18" x14ac:dyDescent="0.2">
      <c r="A924" s="1">
        <v>4</v>
      </c>
      <c r="B924" s="6" t="str">
        <f>VLOOKUP(A924,'ACTIVOS CODIGO'!A:B,2,0)</f>
        <v>GASTOS</v>
      </c>
      <c r="C924" s="2">
        <v>4</v>
      </c>
      <c r="D924" s="7" t="str">
        <f>VLOOKUP(C924,'ACTIVOS CODIGO'!C:D,2,0)</f>
        <v>CUENTA DE GASTO HACIENDA</v>
      </c>
      <c r="E924" s="3"/>
      <c r="F924" s="8"/>
      <c r="G924" s="10">
        <v>0</v>
      </c>
      <c r="H924" s="10"/>
      <c r="K924" s="18">
        <v>1</v>
      </c>
      <c r="L924" s="5" t="s">
        <v>921</v>
      </c>
      <c r="M924" s="27" t="str">
        <f t="shared" si="153"/>
        <v>4-4-0-00-00-01</v>
      </c>
      <c r="N924" s="27" t="str">
        <f t="shared" si="154"/>
        <v>GASTO PRESUPUESTARIOS</v>
      </c>
      <c r="O924" s="4">
        <f t="shared" si="151"/>
        <v>11</v>
      </c>
      <c r="P924" s="4" t="s">
        <v>932</v>
      </c>
      <c r="Q924" s="4" t="str">
        <f t="shared" si="155"/>
        <v>4-4-0-00-00-01-011</v>
      </c>
      <c r="R924" s="4" t="str">
        <f t="shared" si="152"/>
        <v>GASTOS APORTE RESPONSABILIDAD SOCIAL</v>
      </c>
    </row>
    <row r="925" spans="1:18" x14ac:dyDescent="0.2">
      <c r="A925" s="1">
        <v>4</v>
      </c>
      <c r="B925" s="6" t="str">
        <f>VLOOKUP(A925,'ACTIVOS CODIGO'!A:B,2,0)</f>
        <v>GASTOS</v>
      </c>
      <c r="C925" s="2">
        <v>4</v>
      </c>
      <c r="D925" s="7" t="str">
        <f>VLOOKUP(C925,'ACTIVOS CODIGO'!C:D,2,0)</f>
        <v>CUENTA DE GASTO HACIENDA</v>
      </c>
      <c r="E925" s="3"/>
      <c r="F925" s="8"/>
      <c r="G925" s="10">
        <v>0</v>
      </c>
      <c r="H925" s="10"/>
      <c r="K925" s="18">
        <v>1</v>
      </c>
      <c r="L925" s="5" t="s">
        <v>921</v>
      </c>
      <c r="M925" s="27" t="str">
        <f t="shared" si="153"/>
        <v>4-4-0-00-00-01</v>
      </c>
      <c r="N925" s="27" t="str">
        <f t="shared" si="154"/>
        <v>GASTO PRESUPUESTARIOS</v>
      </c>
      <c r="O925" s="4">
        <f t="shared" si="151"/>
        <v>12</v>
      </c>
      <c r="P925" s="4" t="s">
        <v>933</v>
      </c>
      <c r="Q925" s="4" t="str">
        <f t="shared" si="155"/>
        <v>4-4-0-00-00-01-012</v>
      </c>
      <c r="R925" s="4" t="str">
        <f t="shared" si="152"/>
        <v>GASTO APORTE CONSEJOS COMUNALES</v>
      </c>
    </row>
    <row r="926" spans="1:18" x14ac:dyDescent="0.2">
      <c r="A926" s="1">
        <v>4</v>
      </c>
      <c r="B926" s="6" t="str">
        <f>VLOOKUP(A926,'ACTIVOS CODIGO'!A:B,2,0)</f>
        <v>GASTOS</v>
      </c>
      <c r="C926" s="2">
        <v>4</v>
      </c>
      <c r="D926" s="7" t="str">
        <f>VLOOKUP(C926,'ACTIVOS CODIGO'!C:D,2,0)</f>
        <v>CUENTA DE GASTO HACIENDA</v>
      </c>
      <c r="E926" s="3"/>
      <c r="F926" s="8"/>
      <c r="G926" s="10">
        <v>0</v>
      </c>
      <c r="H926" s="10"/>
      <c r="K926" s="18">
        <v>1</v>
      </c>
      <c r="L926" s="5" t="s">
        <v>921</v>
      </c>
      <c r="M926" s="27" t="str">
        <f t="shared" si="153"/>
        <v>4-4-0-00-00-01</v>
      </c>
      <c r="N926" s="27" t="str">
        <f t="shared" si="154"/>
        <v>GASTO PRESUPUESTARIOS</v>
      </c>
      <c r="O926" s="4">
        <f t="shared" si="151"/>
        <v>13</v>
      </c>
      <c r="P926" s="4" t="s">
        <v>934</v>
      </c>
      <c r="Q926" s="4" t="str">
        <f t="shared" si="155"/>
        <v>4-4-0-00-00-01-013</v>
      </c>
      <c r="R926" s="4" t="str">
        <f t="shared" si="152"/>
        <v>GASTOS COMPRA DIVISAS</v>
      </c>
    </row>
    <row r="927" spans="1:18" x14ac:dyDescent="0.2">
      <c r="A927" s="1">
        <v>4</v>
      </c>
      <c r="B927" s="6" t="str">
        <f>VLOOKUP(A927,'ACTIVOS CODIGO'!A:B,2,0)</f>
        <v>GASTOS</v>
      </c>
      <c r="C927" s="2">
        <v>4</v>
      </c>
      <c r="D927" s="7" t="str">
        <f>VLOOKUP(C927,'ACTIVOS CODIGO'!C:D,2,0)</f>
        <v>CUENTA DE GASTO HACIENDA</v>
      </c>
      <c r="E927" s="3"/>
      <c r="F927" s="8"/>
      <c r="G927" s="10">
        <v>0</v>
      </c>
      <c r="H927" s="10"/>
      <c r="K927" s="18">
        <v>1</v>
      </c>
      <c r="L927" s="5" t="s">
        <v>921</v>
      </c>
      <c r="M927" s="27" t="str">
        <f t="shared" si="153"/>
        <v>4-4-0-00-00-01</v>
      </c>
      <c r="N927" s="27" t="str">
        <f t="shared" si="154"/>
        <v>GASTO PRESUPUESTARIOS</v>
      </c>
      <c r="O927" s="4">
        <f t="shared" si="151"/>
        <v>14</v>
      </c>
      <c r="P927" s="4" t="s">
        <v>935</v>
      </c>
      <c r="Q927" s="4" t="str">
        <f t="shared" si="155"/>
        <v>4-4-0-00-00-01-014</v>
      </c>
      <c r="R927" s="4" t="str">
        <f t="shared" si="152"/>
        <v>RETENCIONES DEL IMPUESTO DE DISTRITO CAPITAL</v>
      </c>
    </row>
    <row r="928" spans="1:18" x14ac:dyDescent="0.2">
      <c r="A928" s="1">
        <v>5</v>
      </c>
      <c r="B928" s="6" t="str">
        <f>VLOOKUP(A928,'ACTIVOS CODIGO'!A:B,2,0)</f>
        <v>LIQUIDACION DEL PRESUPUESTO</v>
      </c>
      <c r="C928" s="2"/>
      <c r="D928" s="7"/>
      <c r="E928" s="3"/>
      <c r="F928" s="8"/>
      <c r="G928" s="10">
        <v>0</v>
      </c>
      <c r="H928" s="10"/>
      <c r="K928" s="18"/>
      <c r="L928" s="5"/>
      <c r="M928" s="27" t="str">
        <f t="shared" si="153"/>
        <v>5-0-0-00-00-00</v>
      </c>
      <c r="N928" s="27" t="str">
        <f t="shared" si="154"/>
        <v>LIQUIDACION DEL PRESUPUESTO</v>
      </c>
      <c r="O928" s="4">
        <f t="shared" si="151"/>
        <v>0</v>
      </c>
      <c r="Q928" s="4" t="str">
        <f t="shared" si="155"/>
        <v>5-0-0-00-00-00-000</v>
      </c>
      <c r="R928" s="4" t="str">
        <f t="shared" si="152"/>
        <v>LIQUIDACION DEL PRESUPUESTO</v>
      </c>
    </row>
    <row r="929" spans="1:18" x14ac:dyDescent="0.2">
      <c r="A929" s="1">
        <v>5</v>
      </c>
      <c r="B929" s="6" t="str">
        <f>VLOOKUP(A929,'ACTIVOS CODIGO'!A:B,2,0)</f>
        <v>LIQUIDACION DEL PRESUPUESTO</v>
      </c>
      <c r="C929" s="2">
        <v>5</v>
      </c>
      <c r="D929" s="7" t="str">
        <f>VLOOKUP(C929,'ACTIVOS CODIGO'!C:D,2,0)</f>
        <v>CUENTA DE RESULTADOS DE LA HACIENDA</v>
      </c>
      <c r="E929" s="3"/>
      <c r="F929" s="8"/>
      <c r="G929" s="10">
        <v>0</v>
      </c>
      <c r="H929" s="10"/>
      <c r="K929" s="18"/>
      <c r="L929" s="5"/>
      <c r="M929" s="27" t="str">
        <f t="shared" si="153"/>
        <v>5-5-0-00-00-00</v>
      </c>
      <c r="N929" s="27" t="str">
        <f t="shared" si="154"/>
        <v>CUENTA DE RESULTADOS DE LA HACIENDA</v>
      </c>
      <c r="O929" s="4">
        <f t="shared" si="151"/>
        <v>0</v>
      </c>
      <c r="Q929" s="4" t="str">
        <f t="shared" si="155"/>
        <v>5-5-0-00-00-00-000</v>
      </c>
      <c r="R929" s="4" t="str">
        <f t="shared" si="152"/>
        <v>CUENTA DE RESULTADOS DE LA HACIENDA</v>
      </c>
    </row>
    <row r="930" spans="1:18" x14ac:dyDescent="0.2">
      <c r="A930" s="1">
        <v>5</v>
      </c>
      <c r="B930" s="6" t="str">
        <f>VLOOKUP(A930,'ACTIVOS CODIGO'!A:B,2,0)</f>
        <v>LIQUIDACION DEL PRESUPUESTO</v>
      </c>
      <c r="C930" s="2">
        <v>5</v>
      </c>
      <c r="D930" s="7" t="str">
        <f>VLOOKUP(C930,'ACTIVOS CODIGO'!C:D,2,0)</f>
        <v>CUENTA DE RESULTADOS DE LA HACIENDA</v>
      </c>
      <c r="E930" s="3"/>
      <c r="F930" s="8"/>
      <c r="G930" s="10">
        <v>0</v>
      </c>
      <c r="H930" s="10"/>
      <c r="K930" s="18">
        <v>1</v>
      </c>
      <c r="L930" s="5" t="s">
        <v>938</v>
      </c>
      <c r="M930" s="27" t="str">
        <f t="shared" si="153"/>
        <v>5-5-0-00-00-01</v>
      </c>
      <c r="N930" s="27" t="str">
        <f t="shared" si="154"/>
        <v>CUENTA DE RESULTADOS DE LA HACIENDA</v>
      </c>
      <c r="O930" s="4">
        <f t="shared" si="151"/>
        <v>0</v>
      </c>
      <c r="Q930" s="4" t="str">
        <f t="shared" si="155"/>
        <v>5-5-0-00-00-01-000</v>
      </c>
      <c r="R930" s="4" t="str">
        <f t="shared" si="152"/>
        <v>CUENTA DE RESULTADOS DE LA HACIENDA</v>
      </c>
    </row>
    <row r="931" spans="1:18" x14ac:dyDescent="0.2">
      <c r="A931" s="1">
        <v>5</v>
      </c>
      <c r="B931" s="6" t="str">
        <f>VLOOKUP(A931,'ACTIVOS CODIGO'!A:B,2,0)</f>
        <v>LIQUIDACION DEL PRESUPUESTO</v>
      </c>
      <c r="C931" s="2">
        <v>5</v>
      </c>
      <c r="D931" s="7" t="str">
        <f>VLOOKUP(C931,'ACTIVOS CODIGO'!C:D,2,0)</f>
        <v>CUENTA DE RESULTADOS DE LA HACIENDA</v>
      </c>
      <c r="E931" s="3"/>
      <c r="F931" s="8"/>
      <c r="G931" s="10">
        <v>0</v>
      </c>
      <c r="H931" s="10"/>
      <c r="K931" s="18">
        <v>1</v>
      </c>
      <c r="L931" s="5" t="s">
        <v>938</v>
      </c>
      <c r="M931" s="27" t="str">
        <f t="shared" si="153"/>
        <v>5-5-0-00-00-01</v>
      </c>
      <c r="N931" s="27" t="str">
        <f t="shared" si="154"/>
        <v>CUENTA DE RESULTADOS DE LA HACIENDA</v>
      </c>
      <c r="O931" s="4">
        <f t="shared" si="151"/>
        <v>1</v>
      </c>
      <c r="P931" s="4" t="s">
        <v>938</v>
      </c>
      <c r="Q931" s="4" t="str">
        <f t="shared" si="155"/>
        <v>5-5-0-00-00-01-001</v>
      </c>
      <c r="R931" s="4" t="str">
        <f t="shared" si="152"/>
        <v>CUENTA DE RESULTADOS DE LA HACIENDA</v>
      </c>
    </row>
    <row r="932" spans="1:18" x14ac:dyDescent="0.2">
      <c r="A932" s="1">
        <v>5</v>
      </c>
      <c r="B932" s="6" t="str">
        <f>VLOOKUP(A932,'ACTIVOS CODIGO'!A:B,2,0)</f>
        <v>LIQUIDACION DEL PRESUPUESTO</v>
      </c>
      <c r="C932" s="2">
        <v>6</v>
      </c>
      <c r="D932" s="7" t="str">
        <f>VLOOKUP(C932,'ACTIVOS CODIGO'!C:D,2,0)</f>
        <v>BANCO INTERVERNIDO DE LA HACIENDA</v>
      </c>
      <c r="E932" s="3"/>
      <c r="F932" s="8"/>
      <c r="G932" s="10">
        <v>0</v>
      </c>
      <c r="H932" s="10"/>
      <c r="K932" s="18"/>
      <c r="L932" s="5"/>
      <c r="M932" s="27" t="str">
        <f t="shared" si="153"/>
        <v>5-6-0-00-00-00</v>
      </c>
      <c r="N932" s="27" t="str">
        <f t="shared" si="154"/>
        <v>BANCO INTERVERNIDO DE LA HACIENDA</v>
      </c>
      <c r="O932" s="4">
        <f t="shared" si="151"/>
        <v>0</v>
      </c>
      <c r="Q932" s="4" t="str">
        <f t="shared" si="155"/>
        <v>5-6-0-00-00-00-000</v>
      </c>
      <c r="R932" s="4" t="str">
        <f t="shared" si="152"/>
        <v>BANCO INTERVERNIDO DE LA HACIENDA</v>
      </c>
    </row>
    <row r="933" spans="1:18" x14ac:dyDescent="0.2">
      <c r="A933" s="1">
        <v>5</v>
      </c>
      <c r="B933" s="6" t="str">
        <f>VLOOKUP(A933,'ACTIVOS CODIGO'!A:B,2,0)</f>
        <v>LIQUIDACION DEL PRESUPUESTO</v>
      </c>
      <c r="C933" s="2">
        <v>6</v>
      </c>
      <c r="D933" s="7" t="str">
        <f>VLOOKUP(C933,'ACTIVOS CODIGO'!C:D,2,0)</f>
        <v>BANCO INTERVERNIDO DE LA HACIENDA</v>
      </c>
      <c r="E933" s="3"/>
      <c r="F933" s="8"/>
      <c r="G933" s="10">
        <v>0</v>
      </c>
      <c r="H933" s="10"/>
      <c r="K933" s="18">
        <v>1</v>
      </c>
      <c r="L933" s="5" t="s">
        <v>939</v>
      </c>
      <c r="M933" s="27" t="str">
        <f t="shared" si="153"/>
        <v>5-6-0-00-00-01</v>
      </c>
      <c r="N933" s="27" t="str">
        <f t="shared" si="154"/>
        <v>BANCO INTERVERNIDO</v>
      </c>
      <c r="O933" s="4">
        <f t="shared" si="151"/>
        <v>0</v>
      </c>
      <c r="Q933" s="4" t="str">
        <f t="shared" si="155"/>
        <v>5-6-0-00-00-01-000</v>
      </c>
      <c r="R933" s="4" t="str">
        <f t="shared" si="152"/>
        <v>BANCO INTERVERNIDO</v>
      </c>
    </row>
    <row r="934" spans="1:18" x14ac:dyDescent="0.2">
      <c r="A934" s="1">
        <v>5</v>
      </c>
      <c r="B934" s="6" t="str">
        <f>VLOOKUP(A934,'ACTIVOS CODIGO'!A:B,2,0)</f>
        <v>LIQUIDACION DEL PRESUPUESTO</v>
      </c>
      <c r="C934" s="2">
        <v>6</v>
      </c>
      <c r="D934" s="7" t="str">
        <f>VLOOKUP(C934,'ACTIVOS CODIGO'!C:D,2,0)</f>
        <v>BANCO INTERVERNIDO DE LA HACIENDA</v>
      </c>
      <c r="E934" s="3"/>
      <c r="F934" s="8"/>
      <c r="G934" s="10">
        <v>0</v>
      </c>
      <c r="H934" s="10"/>
      <c r="K934" s="18">
        <v>1</v>
      </c>
      <c r="L934" s="5" t="s">
        <v>939</v>
      </c>
      <c r="M934" s="27" t="str">
        <f t="shared" si="153"/>
        <v>5-6-0-00-00-01</v>
      </c>
      <c r="N934" s="27" t="str">
        <f t="shared" si="154"/>
        <v>BANCO INTERVERNIDO</v>
      </c>
      <c r="O934" s="4">
        <f t="shared" si="151"/>
        <v>1</v>
      </c>
      <c r="P934" s="4" t="s">
        <v>939</v>
      </c>
      <c r="Q934" s="4" t="str">
        <f t="shared" si="155"/>
        <v>5-6-0-00-00-01-001</v>
      </c>
      <c r="R934" s="4" t="str">
        <f t="shared" si="152"/>
        <v>BANCO INTERVERNIDO</v>
      </c>
    </row>
    <row r="935" spans="1:18" x14ac:dyDescent="0.2">
      <c r="A935" s="1">
        <v>6</v>
      </c>
      <c r="B935" s="6" t="str">
        <f>VLOOKUP(A935,'ACTIVOS CODIGO'!A:B,2,0)</f>
        <v>CUENTA DE ORDEN</v>
      </c>
      <c r="C935" s="2"/>
      <c r="D935" s="7"/>
      <c r="E935" s="3"/>
      <c r="F935" s="8"/>
      <c r="G935" s="10">
        <v>0</v>
      </c>
      <c r="H935" s="10"/>
      <c r="K935" s="18"/>
      <c r="L935" s="5"/>
      <c r="M935" s="27" t="str">
        <f t="shared" si="153"/>
        <v>6-0-0-00-00-00</v>
      </c>
      <c r="N935" s="27" t="str">
        <f t="shared" si="154"/>
        <v>CUENTA DE ORDEN</v>
      </c>
      <c r="O935" s="4">
        <f t="shared" si="151"/>
        <v>0</v>
      </c>
      <c r="Q935" s="4" t="str">
        <f t="shared" si="155"/>
        <v>6-0-0-00-00-00-000</v>
      </c>
      <c r="R935" s="4" t="str">
        <f t="shared" si="152"/>
        <v>CUENTA DE ORDEN</v>
      </c>
    </row>
    <row r="936" spans="1:18" x14ac:dyDescent="0.2">
      <c r="A936" s="1">
        <v>6</v>
      </c>
      <c r="B936" s="6" t="str">
        <f>VLOOKUP(A936,'ACTIVOS CODIGO'!A:B,2,0)</f>
        <v>CUENTA DE ORDEN</v>
      </c>
      <c r="C936" s="2">
        <v>7</v>
      </c>
      <c r="D936" s="7" t="str">
        <f>VLOOKUP(C936,'ACTIVOS CODIGO'!C:D,2,0)</f>
        <v>CUENTA DE ORDEN DE LA HACIENDA</v>
      </c>
      <c r="E936" s="3"/>
      <c r="F936" s="8"/>
      <c r="G936" s="10">
        <v>0</v>
      </c>
      <c r="H936" s="10"/>
      <c r="K936" s="18"/>
      <c r="L936" s="5"/>
      <c r="M936" s="27" t="str">
        <f t="shared" si="153"/>
        <v>6-7-0-00-00-00</v>
      </c>
      <c r="N936" s="27" t="str">
        <f t="shared" si="154"/>
        <v>CUENTA DE ORDEN DE LA HACIENDA</v>
      </c>
      <c r="O936" s="4">
        <f t="shared" si="151"/>
        <v>0</v>
      </c>
      <c r="Q936" s="4" t="str">
        <f t="shared" si="155"/>
        <v>6-7-0-00-00-00-000</v>
      </c>
      <c r="R936" s="4" t="str">
        <f t="shared" si="152"/>
        <v>CUENTA DE ORDEN DE LA HACIENDA</v>
      </c>
    </row>
    <row r="937" spans="1:18" x14ac:dyDescent="0.2">
      <c r="A937" s="1">
        <v>6</v>
      </c>
      <c r="B937" s="6" t="str">
        <f>VLOOKUP(A937,'ACTIVOS CODIGO'!A:B,2,0)</f>
        <v>CUENTA DE ORDEN</v>
      </c>
      <c r="C937" s="2">
        <v>7</v>
      </c>
      <c r="D937" s="7" t="str">
        <f>VLOOKUP(C937,'ACTIVOS CODIGO'!C:D,2,0)</f>
        <v>CUENTA DE ORDEN DE LA HACIENDA</v>
      </c>
      <c r="E937" s="3"/>
      <c r="F937" s="8"/>
      <c r="G937" s="10">
        <v>0</v>
      </c>
      <c r="H937" s="10"/>
      <c r="K937" s="18">
        <v>1</v>
      </c>
      <c r="L937" s="4" t="s">
        <v>943</v>
      </c>
      <c r="M937" s="27" t="str">
        <f t="shared" si="153"/>
        <v>6-7-0-00-00-01</v>
      </c>
      <c r="N937" s="27" t="str">
        <f t="shared" si="154"/>
        <v>FONDO EN BANCOS INTERVENIDOS</v>
      </c>
      <c r="O937" s="4">
        <f t="shared" si="151"/>
        <v>0</v>
      </c>
      <c r="Q937" s="4" t="str">
        <f t="shared" si="155"/>
        <v>6-7-0-00-00-01-000</v>
      </c>
      <c r="R937" s="4" t="str">
        <f t="shared" si="152"/>
        <v>FONDO EN BANCOS INTERVENIDOS</v>
      </c>
    </row>
    <row r="938" spans="1:18" x14ac:dyDescent="0.2">
      <c r="A938" s="1">
        <v>6</v>
      </c>
      <c r="B938" s="6" t="str">
        <f>VLOOKUP(A938,'ACTIVOS CODIGO'!A:B,2,0)</f>
        <v>CUENTA DE ORDEN</v>
      </c>
      <c r="C938" s="2">
        <v>7</v>
      </c>
      <c r="D938" s="7" t="str">
        <f>VLOOKUP(C938,'ACTIVOS CODIGO'!C:D,2,0)</f>
        <v>CUENTA DE ORDEN DE LA HACIENDA</v>
      </c>
      <c r="E938" s="3"/>
      <c r="F938" s="8"/>
      <c r="G938" s="10">
        <v>0</v>
      </c>
      <c r="H938" s="10"/>
      <c r="K938" s="18">
        <v>1</v>
      </c>
      <c r="L938" s="4" t="s">
        <v>943</v>
      </c>
      <c r="M938" s="27" t="str">
        <f t="shared" si="153"/>
        <v>6-7-0-00-00-01</v>
      </c>
      <c r="N938" s="27" t="str">
        <f t="shared" si="154"/>
        <v>FONDO EN BANCOS INTERVENIDOS</v>
      </c>
      <c r="O938" s="4">
        <f t="shared" si="151"/>
        <v>1</v>
      </c>
      <c r="P938" s="4" t="s">
        <v>944</v>
      </c>
      <c r="Q938" s="4" t="str">
        <f t="shared" si="155"/>
        <v>6-7-0-00-00-01-001</v>
      </c>
      <c r="R938" s="4" t="str">
        <f t="shared" si="152"/>
        <v>BCO. COM. MBO. CTA. 18070229</v>
      </c>
    </row>
    <row r="939" spans="1:18" x14ac:dyDescent="0.2">
      <c r="A939" s="1">
        <v>6</v>
      </c>
      <c r="B939" s="6" t="str">
        <f>VLOOKUP(A939,'ACTIVOS CODIGO'!A:B,2,0)</f>
        <v>CUENTA DE ORDEN</v>
      </c>
      <c r="C939" s="2">
        <v>7</v>
      </c>
      <c r="D939" s="7" t="str">
        <f>VLOOKUP(C939,'ACTIVOS CODIGO'!C:D,2,0)</f>
        <v>CUENTA DE ORDEN DE LA HACIENDA</v>
      </c>
      <c r="E939" s="3"/>
      <c r="F939" s="8"/>
      <c r="G939" s="10">
        <v>0</v>
      </c>
      <c r="H939" s="10"/>
      <c r="K939" s="18">
        <v>1</v>
      </c>
      <c r="L939" s="4" t="s">
        <v>943</v>
      </c>
      <c r="M939" s="27" t="str">
        <f t="shared" si="153"/>
        <v>6-7-0-00-00-01</v>
      </c>
      <c r="N939" s="27" t="str">
        <f t="shared" si="154"/>
        <v>FONDO EN BANCOS INTERVENIDOS</v>
      </c>
      <c r="O939" s="4">
        <f t="shared" si="151"/>
        <v>2</v>
      </c>
      <c r="P939" s="4" t="s">
        <v>945</v>
      </c>
      <c r="Q939" s="4" t="str">
        <f t="shared" si="155"/>
        <v>6-7-0-00-00-01-002</v>
      </c>
      <c r="R939" s="4" t="str">
        <f t="shared" si="152"/>
        <v>BND CTA 01-807730</v>
      </c>
    </row>
    <row r="940" spans="1:18" x14ac:dyDescent="0.2">
      <c r="A940" s="1">
        <v>6</v>
      </c>
      <c r="B940" s="6" t="str">
        <f>VLOOKUP(A940,'ACTIVOS CODIGO'!A:B,2,0)</f>
        <v>CUENTA DE ORDEN</v>
      </c>
      <c r="C940" s="2">
        <v>7</v>
      </c>
      <c r="D940" s="7" t="str">
        <f>VLOOKUP(C940,'ACTIVOS CODIGO'!C:D,2,0)</f>
        <v>CUENTA DE ORDEN DE LA HACIENDA</v>
      </c>
      <c r="E940" s="3"/>
      <c r="F940" s="8"/>
      <c r="G940" s="10">
        <v>0</v>
      </c>
      <c r="H940" s="10"/>
      <c r="K940" s="18">
        <v>1</v>
      </c>
      <c r="L940" s="4" t="s">
        <v>943</v>
      </c>
      <c r="M940" s="27" t="str">
        <f t="shared" si="153"/>
        <v>6-7-0-00-00-01</v>
      </c>
      <c r="N940" s="27" t="str">
        <f t="shared" si="154"/>
        <v>FONDO EN BANCOS INTERVENIDOS</v>
      </c>
      <c r="O940" s="4">
        <f t="shared" si="151"/>
        <v>3</v>
      </c>
      <c r="P940" s="4" t="s">
        <v>946</v>
      </c>
      <c r="Q940" s="4" t="str">
        <f t="shared" si="155"/>
        <v>6-7-0-00-00-01-003</v>
      </c>
      <c r="R940" s="4" t="str">
        <f t="shared" si="152"/>
        <v>BND CTA 01-807781</v>
      </c>
    </row>
    <row r="941" spans="1:18" x14ac:dyDescent="0.2">
      <c r="A941" s="1">
        <v>6</v>
      </c>
      <c r="B941" s="6" t="str">
        <f>VLOOKUP(A941,'ACTIVOS CODIGO'!A:B,2,0)</f>
        <v>CUENTA DE ORDEN</v>
      </c>
      <c r="C941" s="2">
        <v>7</v>
      </c>
      <c r="D941" s="7" t="str">
        <f>VLOOKUP(C941,'ACTIVOS CODIGO'!C:D,2,0)</f>
        <v>CUENTA DE ORDEN DE LA HACIENDA</v>
      </c>
      <c r="E941" s="3"/>
      <c r="F941" s="8"/>
      <c r="G941" s="10">
        <v>0</v>
      </c>
      <c r="H941" s="10"/>
      <c r="K941" s="18">
        <v>1</v>
      </c>
      <c r="L941" s="4" t="s">
        <v>943</v>
      </c>
      <c r="M941" s="27" t="str">
        <f t="shared" si="153"/>
        <v>6-7-0-00-00-01</v>
      </c>
      <c r="N941" s="27" t="str">
        <f t="shared" si="154"/>
        <v>FONDO EN BANCOS INTERVENIDOS</v>
      </c>
      <c r="O941" s="4">
        <f t="shared" si="151"/>
        <v>4</v>
      </c>
      <c r="P941" s="4" t="s">
        <v>947</v>
      </c>
      <c r="Q941" s="4" t="str">
        <f t="shared" si="155"/>
        <v>6-7-0-00-00-01-004</v>
      </c>
      <c r="R941" s="4" t="str">
        <f t="shared" si="152"/>
        <v>BTV CTA. 001-008789-7</v>
      </c>
    </row>
    <row r="942" spans="1:18" x14ac:dyDescent="0.2">
      <c r="A942" s="1">
        <v>6</v>
      </c>
      <c r="B942" s="6" t="str">
        <f>VLOOKUP(A942,'ACTIVOS CODIGO'!A:B,2,0)</f>
        <v>CUENTA DE ORDEN</v>
      </c>
      <c r="C942" s="2">
        <v>7</v>
      </c>
      <c r="D942" s="7" t="str">
        <f>VLOOKUP(C942,'ACTIVOS CODIGO'!C:D,2,0)</f>
        <v>CUENTA DE ORDEN DE LA HACIENDA</v>
      </c>
      <c r="E942" s="3"/>
      <c r="F942" s="8"/>
      <c r="G942" s="10">
        <v>0</v>
      </c>
      <c r="H942" s="10"/>
      <c r="K942" s="18">
        <v>1</v>
      </c>
      <c r="L942" s="4" t="s">
        <v>943</v>
      </c>
      <c r="M942" s="27" t="str">
        <f t="shared" si="153"/>
        <v>6-7-0-00-00-01</v>
      </c>
      <c r="N942" s="27" t="str">
        <f t="shared" si="154"/>
        <v>FONDO EN BANCOS INTERVENIDOS</v>
      </c>
      <c r="O942" s="4">
        <f t="shared" si="151"/>
        <v>5</v>
      </c>
      <c r="P942" s="4" t="s">
        <v>948</v>
      </c>
      <c r="Q942" s="4" t="str">
        <f t="shared" si="155"/>
        <v>6-7-0-00-00-01-005</v>
      </c>
      <c r="R942" s="4" t="str">
        <f t="shared" si="152"/>
        <v>BTV CTA. 001-004675-0</v>
      </c>
    </row>
    <row r="943" spans="1:18" x14ac:dyDescent="0.2">
      <c r="A943" s="1">
        <v>6</v>
      </c>
      <c r="B943" s="6" t="str">
        <f>VLOOKUP(A943,'ACTIVOS CODIGO'!A:B,2,0)</f>
        <v>CUENTA DE ORDEN</v>
      </c>
      <c r="C943" s="2">
        <v>7</v>
      </c>
      <c r="D943" s="7" t="str">
        <f>VLOOKUP(C943,'ACTIVOS CODIGO'!C:D,2,0)</f>
        <v>CUENTA DE ORDEN DE LA HACIENDA</v>
      </c>
      <c r="E943" s="3"/>
      <c r="F943" s="8"/>
      <c r="G943" s="10">
        <v>0</v>
      </c>
      <c r="H943" s="10"/>
      <c r="K943" s="18">
        <v>1</v>
      </c>
      <c r="L943" s="4" t="s">
        <v>943</v>
      </c>
      <c r="M943" s="27" t="str">
        <f t="shared" si="153"/>
        <v>6-7-0-00-00-01</v>
      </c>
      <c r="N943" s="27" t="str">
        <f t="shared" si="154"/>
        <v>FONDO EN BANCOS INTERVENIDOS</v>
      </c>
      <c r="O943" s="4">
        <f t="shared" si="151"/>
        <v>6</v>
      </c>
      <c r="P943" s="4" t="s">
        <v>949</v>
      </c>
      <c r="Q943" s="4" t="str">
        <f t="shared" si="155"/>
        <v>6-7-0-00-00-01-006</v>
      </c>
      <c r="R943" s="4" t="str">
        <f t="shared" si="152"/>
        <v>BTV CTA 001-07324-3</v>
      </c>
    </row>
    <row r="944" spans="1:18" x14ac:dyDescent="0.2">
      <c r="A944" s="1">
        <v>6</v>
      </c>
      <c r="B944" s="6" t="str">
        <f>VLOOKUP(A944,'ACTIVOS CODIGO'!A:B,2,0)</f>
        <v>CUENTA DE ORDEN</v>
      </c>
      <c r="C944" s="2">
        <v>7</v>
      </c>
      <c r="D944" s="7" t="str">
        <f>VLOOKUP(C944,'ACTIVOS CODIGO'!C:D,2,0)</f>
        <v>CUENTA DE ORDEN DE LA HACIENDA</v>
      </c>
      <c r="E944" s="3"/>
      <c r="F944" s="8"/>
      <c r="G944" s="10">
        <v>0</v>
      </c>
      <c r="H944" s="10"/>
      <c r="K944" s="18">
        <v>1</v>
      </c>
      <c r="L944" s="4" t="s">
        <v>943</v>
      </c>
      <c r="M944" s="27" t="str">
        <f t="shared" si="153"/>
        <v>6-7-0-00-00-01</v>
      </c>
      <c r="N944" s="27" t="str">
        <f t="shared" si="154"/>
        <v>FONDO EN BANCOS INTERVENIDOS</v>
      </c>
      <c r="O944" s="4">
        <f t="shared" si="151"/>
        <v>7</v>
      </c>
      <c r="P944" s="4" t="s">
        <v>950</v>
      </c>
      <c r="Q944" s="4" t="str">
        <f t="shared" si="155"/>
        <v>6-7-0-00-00-01-007</v>
      </c>
      <c r="R944" s="4" t="str">
        <f t="shared" si="152"/>
        <v>LA GUAIRA 00-20323-8</v>
      </c>
    </row>
    <row r="945" spans="1:18" x14ac:dyDescent="0.2">
      <c r="A945" s="1">
        <v>6</v>
      </c>
      <c r="B945" s="6" t="str">
        <f>VLOOKUP(A945,'ACTIVOS CODIGO'!A:B,2,0)</f>
        <v>CUENTA DE ORDEN</v>
      </c>
      <c r="C945" s="2">
        <v>7</v>
      </c>
      <c r="D945" s="7" t="str">
        <f>VLOOKUP(C945,'ACTIVOS CODIGO'!C:D,2,0)</f>
        <v>CUENTA DE ORDEN DE LA HACIENDA</v>
      </c>
      <c r="E945" s="3"/>
      <c r="F945" s="8"/>
      <c r="G945" s="10">
        <v>0</v>
      </c>
      <c r="H945" s="10"/>
      <c r="K945" s="18">
        <v>1</v>
      </c>
      <c r="L945" s="4" t="s">
        <v>943</v>
      </c>
      <c r="M945" s="27" t="str">
        <f t="shared" si="153"/>
        <v>6-7-0-00-00-01</v>
      </c>
      <c r="N945" s="27" t="str">
        <f t="shared" si="154"/>
        <v>FONDO EN BANCOS INTERVENIDOS</v>
      </c>
      <c r="O945" s="4">
        <f t="shared" si="151"/>
        <v>8</v>
      </c>
      <c r="P945" s="4" t="s">
        <v>485</v>
      </c>
      <c r="Q945" s="4" t="str">
        <f t="shared" si="155"/>
        <v>6-7-0-00-00-01-008</v>
      </c>
      <c r="R945" s="4" t="str">
        <f t="shared" si="152"/>
        <v>LA GUAIRA 00-15557-8</v>
      </c>
    </row>
    <row r="946" spans="1:18" x14ac:dyDescent="0.2">
      <c r="A946" s="1">
        <v>6</v>
      </c>
      <c r="B946" s="6" t="str">
        <f>VLOOKUP(A946,'ACTIVOS CODIGO'!A:B,2,0)</f>
        <v>CUENTA DE ORDEN</v>
      </c>
      <c r="C946" s="2">
        <v>7</v>
      </c>
      <c r="D946" s="7" t="str">
        <f>VLOOKUP(C946,'ACTIVOS CODIGO'!C:D,2,0)</f>
        <v>CUENTA DE ORDEN DE LA HACIENDA</v>
      </c>
      <c r="E946" s="3"/>
      <c r="F946" s="8"/>
      <c r="G946" s="10">
        <v>0</v>
      </c>
      <c r="H946" s="10"/>
      <c r="K946" s="18">
        <v>1</v>
      </c>
      <c r="L946" s="4" t="s">
        <v>943</v>
      </c>
      <c r="M946" s="27" t="str">
        <f t="shared" si="153"/>
        <v>6-7-0-00-00-01</v>
      </c>
      <c r="N946" s="27" t="str">
        <f t="shared" si="154"/>
        <v>FONDO EN BANCOS INTERVENIDOS</v>
      </c>
      <c r="O946" s="4">
        <f t="shared" si="151"/>
        <v>9</v>
      </c>
      <c r="P946" s="4" t="s">
        <v>479</v>
      </c>
      <c r="Q946" s="4" t="str">
        <f t="shared" si="155"/>
        <v>6-7-0-00-00-01-009</v>
      </c>
      <c r="R946" s="4" t="str">
        <f t="shared" si="152"/>
        <v>CONSTRUCCION 01-57720-4</v>
      </c>
    </row>
    <row r="947" spans="1:18" x14ac:dyDescent="0.2">
      <c r="A947" s="1">
        <v>6</v>
      </c>
      <c r="B947" s="6" t="str">
        <f>VLOOKUP(A947,'ACTIVOS CODIGO'!A:B,2,0)</f>
        <v>CUENTA DE ORDEN</v>
      </c>
      <c r="C947" s="2">
        <v>7</v>
      </c>
      <c r="D947" s="7" t="str">
        <f>VLOOKUP(C947,'ACTIVOS CODIGO'!C:D,2,0)</f>
        <v>CUENTA DE ORDEN DE LA HACIENDA</v>
      </c>
      <c r="E947" s="3"/>
      <c r="F947" s="8"/>
      <c r="G947" s="10">
        <v>0</v>
      </c>
      <c r="H947" s="10"/>
      <c r="K947" s="18">
        <v>1</v>
      </c>
      <c r="L947" s="4" t="s">
        <v>943</v>
      </c>
      <c r="M947" s="27" t="str">
        <f t="shared" si="153"/>
        <v>6-7-0-00-00-01</v>
      </c>
      <c r="N947" s="27" t="str">
        <f t="shared" si="154"/>
        <v>FONDO EN BANCOS INTERVENIDOS</v>
      </c>
      <c r="O947" s="4">
        <f t="shared" si="151"/>
        <v>10</v>
      </c>
      <c r="P947" s="4" t="s">
        <v>480</v>
      </c>
      <c r="Q947" s="4" t="str">
        <f t="shared" si="155"/>
        <v>6-7-0-00-00-01-010</v>
      </c>
      <c r="R947" s="4" t="str">
        <f t="shared" si="152"/>
        <v>CONSTRUCCION 01-00121-3</v>
      </c>
    </row>
    <row r="948" spans="1:18" x14ac:dyDescent="0.2">
      <c r="A948" s="1">
        <v>6</v>
      </c>
      <c r="B948" s="6" t="str">
        <f>VLOOKUP(A948,'ACTIVOS CODIGO'!A:B,2,0)</f>
        <v>CUENTA DE ORDEN</v>
      </c>
      <c r="C948" s="2">
        <v>7</v>
      </c>
      <c r="D948" s="7" t="str">
        <f>VLOOKUP(C948,'ACTIVOS CODIGO'!C:D,2,0)</f>
        <v>CUENTA DE ORDEN DE LA HACIENDA</v>
      </c>
      <c r="E948" s="3"/>
      <c r="F948" s="8"/>
      <c r="G948" s="10">
        <v>0</v>
      </c>
      <c r="H948" s="10"/>
      <c r="K948" s="18">
        <v>1</v>
      </c>
      <c r="L948" s="4" t="s">
        <v>943</v>
      </c>
      <c r="M948" s="27" t="str">
        <f t="shared" si="153"/>
        <v>6-7-0-00-00-01</v>
      </c>
      <c r="N948" s="27" t="str">
        <f t="shared" si="154"/>
        <v>FONDO EN BANCOS INTERVENIDOS</v>
      </c>
      <c r="O948" s="4">
        <f t="shared" si="151"/>
        <v>11</v>
      </c>
      <c r="P948" s="4" t="s">
        <v>481</v>
      </c>
      <c r="Q948" s="4" t="str">
        <f t="shared" si="155"/>
        <v>6-7-0-00-00-01-011</v>
      </c>
      <c r="R948" s="4" t="str">
        <f t="shared" si="152"/>
        <v>CONSTRUCCION 01-71941-6</v>
      </c>
    </row>
    <row r="949" spans="1:18" x14ac:dyDescent="0.2">
      <c r="A949" s="1">
        <v>6</v>
      </c>
      <c r="B949" s="6" t="str">
        <f>VLOOKUP(A949,'ACTIVOS CODIGO'!A:B,2,0)</f>
        <v>CUENTA DE ORDEN</v>
      </c>
      <c r="C949" s="2">
        <v>7</v>
      </c>
      <c r="D949" s="7" t="str">
        <f>VLOOKUP(C949,'ACTIVOS CODIGO'!C:D,2,0)</f>
        <v>CUENTA DE ORDEN DE LA HACIENDA</v>
      </c>
      <c r="E949" s="3"/>
      <c r="F949" s="8"/>
      <c r="G949" s="10">
        <v>0</v>
      </c>
      <c r="H949" s="10"/>
      <c r="K949" s="18">
        <v>1</v>
      </c>
      <c r="L949" s="4" t="s">
        <v>943</v>
      </c>
      <c r="M949" s="27" t="str">
        <f t="shared" si="153"/>
        <v>6-7-0-00-00-01</v>
      </c>
      <c r="N949" s="27" t="str">
        <f t="shared" si="154"/>
        <v>FONDO EN BANCOS INTERVENIDOS</v>
      </c>
      <c r="O949" s="4">
        <f t="shared" si="151"/>
        <v>12</v>
      </c>
      <c r="P949" s="4" t="s">
        <v>951</v>
      </c>
      <c r="Q949" s="4" t="str">
        <f t="shared" si="155"/>
        <v>6-7-0-00-00-01-012</v>
      </c>
      <c r="R949" s="4" t="str">
        <f t="shared" si="152"/>
        <v>LATINO 01039992-4</v>
      </c>
    </row>
    <row r="950" spans="1:18" x14ac:dyDescent="0.2">
      <c r="A950" s="1">
        <v>6</v>
      </c>
      <c r="B950" s="6" t="str">
        <f>VLOOKUP(A950,'ACTIVOS CODIGO'!A:B,2,0)</f>
        <v>CUENTA DE ORDEN</v>
      </c>
      <c r="C950" s="2">
        <v>7</v>
      </c>
      <c r="D950" s="7" t="str">
        <f>VLOOKUP(C950,'ACTIVOS CODIGO'!C:D,2,0)</f>
        <v>CUENTA DE ORDEN DE LA HACIENDA</v>
      </c>
      <c r="E950" s="3"/>
      <c r="F950" s="8"/>
      <c r="G950" s="10">
        <v>0</v>
      </c>
      <c r="H950" s="10"/>
      <c r="K950" s="18">
        <v>1</v>
      </c>
      <c r="L950" s="4" t="s">
        <v>943</v>
      </c>
      <c r="M950" s="27" t="str">
        <f t="shared" si="153"/>
        <v>6-7-0-00-00-01</v>
      </c>
      <c r="N950" s="27" t="str">
        <f t="shared" si="154"/>
        <v>FONDO EN BANCOS INTERVENIDOS</v>
      </c>
      <c r="O950" s="4">
        <f t="shared" si="151"/>
        <v>13</v>
      </c>
      <c r="P950" s="4" t="s">
        <v>491</v>
      </c>
      <c r="Q950" s="4" t="str">
        <f t="shared" si="155"/>
        <v>6-7-0-00-00-01-013</v>
      </c>
      <c r="R950" s="4" t="str">
        <f t="shared" si="152"/>
        <v>LATINO 02-49471-1</v>
      </c>
    </row>
    <row r="951" spans="1:18" x14ac:dyDescent="0.2">
      <c r="A951" s="1">
        <v>6</v>
      </c>
      <c r="B951" s="6" t="str">
        <f>VLOOKUP(A951,'ACTIVOS CODIGO'!A:B,2,0)</f>
        <v>CUENTA DE ORDEN</v>
      </c>
      <c r="C951" s="2">
        <v>7</v>
      </c>
      <c r="D951" s="7" t="str">
        <f>VLOOKUP(C951,'ACTIVOS CODIGO'!C:D,2,0)</f>
        <v>CUENTA DE ORDEN DE LA HACIENDA</v>
      </c>
      <c r="E951" s="3"/>
      <c r="F951" s="8"/>
      <c r="G951" s="10">
        <v>0</v>
      </c>
      <c r="H951" s="10"/>
      <c r="K951" s="18">
        <v>1</v>
      </c>
      <c r="L951" s="4" t="s">
        <v>943</v>
      </c>
      <c r="M951" s="27" t="str">
        <f t="shared" si="153"/>
        <v>6-7-0-00-00-01</v>
      </c>
      <c r="N951" s="27" t="str">
        <f t="shared" si="154"/>
        <v>FONDO EN BANCOS INTERVENIDOS</v>
      </c>
      <c r="O951" s="4">
        <f t="shared" si="151"/>
        <v>14</v>
      </c>
      <c r="P951" s="4" t="s">
        <v>492</v>
      </c>
      <c r="Q951" s="4" t="str">
        <f t="shared" si="155"/>
        <v>6-7-0-00-00-01-014</v>
      </c>
      <c r="R951" s="4" t="str">
        <f t="shared" si="152"/>
        <v>MARACAIBO 038-04023-4</v>
      </c>
    </row>
    <row r="952" spans="1:18" x14ac:dyDescent="0.2">
      <c r="A952" s="1">
        <v>6</v>
      </c>
      <c r="B952" s="6" t="str">
        <f>VLOOKUP(A952,'ACTIVOS CODIGO'!A:B,2,0)</f>
        <v>CUENTA DE ORDEN</v>
      </c>
      <c r="C952" s="2">
        <v>7</v>
      </c>
      <c r="D952" s="7" t="str">
        <f>VLOOKUP(C952,'ACTIVOS CODIGO'!C:D,2,0)</f>
        <v>CUENTA DE ORDEN DE LA HACIENDA</v>
      </c>
      <c r="E952" s="3"/>
      <c r="F952" s="8"/>
      <c r="G952" s="10">
        <v>0</v>
      </c>
      <c r="H952" s="10"/>
      <c r="K952" s="18">
        <v>1</v>
      </c>
      <c r="L952" s="4" t="s">
        <v>943</v>
      </c>
      <c r="M952" s="27" t="str">
        <f t="shared" si="153"/>
        <v>6-7-0-00-00-01</v>
      </c>
      <c r="N952" s="27" t="str">
        <f t="shared" si="154"/>
        <v>FONDO EN BANCOS INTERVENIDOS</v>
      </c>
      <c r="O952" s="4">
        <f t="shared" si="151"/>
        <v>15</v>
      </c>
      <c r="P952" s="4" t="s">
        <v>494</v>
      </c>
      <c r="Q952" s="4" t="str">
        <f t="shared" si="155"/>
        <v>6-7-0-00-00-01-015</v>
      </c>
      <c r="R952" s="4" t="str">
        <f t="shared" si="152"/>
        <v>BANCOR 001-1-10467-5</v>
      </c>
    </row>
    <row r="953" spans="1:18" x14ac:dyDescent="0.2">
      <c r="A953" s="1">
        <v>6</v>
      </c>
      <c r="B953" s="6" t="str">
        <f>VLOOKUP(A953,'ACTIVOS CODIGO'!A:B,2,0)</f>
        <v>CUENTA DE ORDEN</v>
      </c>
      <c r="C953" s="2">
        <v>7</v>
      </c>
      <c r="D953" s="7" t="str">
        <f>VLOOKUP(C953,'ACTIVOS CODIGO'!C:D,2,0)</f>
        <v>CUENTA DE ORDEN DE LA HACIENDA</v>
      </c>
      <c r="E953" s="3"/>
      <c r="F953" s="8"/>
      <c r="G953" s="10">
        <v>0</v>
      </c>
      <c r="H953" s="10"/>
      <c r="I953" s="18">
        <v>1</v>
      </c>
      <c r="J953" s="5" t="s">
        <v>952</v>
      </c>
      <c r="K953" s="18"/>
      <c r="L953" s="5"/>
      <c r="M953" s="27" t="str">
        <f t="shared" si="153"/>
        <v>6-7-0-00-01-00</v>
      </c>
      <c r="N953" s="27" t="str">
        <f t="shared" si="154"/>
        <v>FONDO EN BANCOS INTERV. PER</v>
      </c>
      <c r="O953" s="4">
        <f t="shared" si="151"/>
        <v>0</v>
      </c>
      <c r="Q953" s="4" t="str">
        <f t="shared" si="155"/>
        <v>6-7-0-00-01-00-000</v>
      </c>
      <c r="R953" s="4" t="str">
        <f t="shared" si="152"/>
        <v>FONDO EN BANCOS INTERV. PER</v>
      </c>
    </row>
    <row r="954" spans="1:18" x14ac:dyDescent="0.2">
      <c r="A954" s="1">
        <v>6</v>
      </c>
      <c r="B954" s="6" t="str">
        <f>VLOOKUP(A954,'ACTIVOS CODIGO'!A:B,2,0)</f>
        <v>CUENTA DE ORDEN</v>
      </c>
      <c r="C954" s="2">
        <v>7</v>
      </c>
      <c r="D954" s="7" t="str">
        <f>VLOOKUP(C954,'ACTIVOS CODIGO'!C:D,2,0)</f>
        <v>CUENTA DE ORDEN DE LA HACIENDA</v>
      </c>
      <c r="E954" s="3"/>
      <c r="F954" s="8"/>
      <c r="G954" s="10">
        <v>0</v>
      </c>
      <c r="H954" s="10"/>
      <c r="I954" s="18">
        <v>1</v>
      </c>
      <c r="J954" s="5" t="s">
        <v>952</v>
      </c>
      <c r="K954" s="18">
        <v>1</v>
      </c>
      <c r="L954" s="4" t="s">
        <v>952</v>
      </c>
      <c r="M954" s="27" t="str">
        <f t="shared" si="153"/>
        <v>6-7-0-00-01-01</v>
      </c>
      <c r="N954" s="27" t="str">
        <f t="shared" si="154"/>
        <v>FONDO EN BANCOS INTERV. PER</v>
      </c>
      <c r="O954" s="4">
        <f t="shared" ref="O954:O955" si="156">IF(P954="",0,IF(M953=M954,IF(O953="",0,O953)+1,""))</f>
        <v>0</v>
      </c>
      <c r="Q954" s="4" t="str">
        <f t="shared" si="155"/>
        <v>6-7-0-00-01-01-000</v>
      </c>
      <c r="R954" s="4" t="str">
        <f t="shared" si="152"/>
        <v>FONDO EN BANCOS INTERV. PER</v>
      </c>
    </row>
    <row r="955" spans="1:18" x14ac:dyDescent="0.2">
      <c r="A955" s="1">
        <v>6</v>
      </c>
      <c r="B955" s="6" t="str">
        <f>VLOOKUP(A955,'ACTIVOS CODIGO'!A:B,2,0)</f>
        <v>CUENTA DE ORDEN</v>
      </c>
      <c r="C955" s="2">
        <v>7</v>
      </c>
      <c r="D955" s="7" t="str">
        <f>VLOOKUP(C955,'ACTIVOS CODIGO'!C:D,2,0)</f>
        <v>CUENTA DE ORDEN DE LA HACIENDA</v>
      </c>
      <c r="E955" s="3"/>
      <c r="F955" s="8"/>
      <c r="G955" s="10">
        <v>0</v>
      </c>
      <c r="H955" s="10"/>
      <c r="I955" s="18">
        <v>1</v>
      </c>
      <c r="J955" s="5" t="s">
        <v>952</v>
      </c>
      <c r="K955" s="18">
        <v>1</v>
      </c>
      <c r="L955" s="4" t="s">
        <v>952</v>
      </c>
      <c r="M955" s="27" t="str">
        <f t="shared" si="153"/>
        <v>6-7-0-00-01-01</v>
      </c>
      <c r="N955" s="27" t="str">
        <f t="shared" si="154"/>
        <v>FONDO EN BANCOS INTERV. PER</v>
      </c>
      <c r="O955" s="4">
        <f t="shared" si="156"/>
        <v>1</v>
      </c>
      <c r="P955" s="4" t="s">
        <v>952</v>
      </c>
      <c r="Q955" s="4" t="str">
        <f t="shared" si="155"/>
        <v>6-7-0-00-01-01-001</v>
      </c>
      <c r="R955" s="4" t="str">
        <f t="shared" ref="R955" si="157">IF(P955="",IF(L955="",IF(J955="",IF(H955="",IF(F955="",IF(D955="",B955,D955),F955),H955),J955),L955),P955)</f>
        <v>FONDO EN BANCOS INTERV. PER</v>
      </c>
    </row>
  </sheetData>
  <autoFilter ref="A3:U146" xr:uid="{00000000-0009-0000-0000-000000000000}"/>
  <mergeCells count="7">
    <mergeCell ref="O2:P2"/>
    <mergeCell ref="A2:B2"/>
    <mergeCell ref="C2:D2"/>
    <mergeCell ref="E2:F2"/>
    <mergeCell ref="G2:H2"/>
    <mergeCell ref="I2:J2"/>
    <mergeCell ref="M2:N2"/>
  </mergeCells>
  <phoneticPr fontId="7" type="noConversion"/>
  <conditionalFormatting sqref="M3">
    <cfRule type="duplicateValues" dxfId="3" priority="76" stopIfTrue="1"/>
  </conditionalFormatting>
  <conditionalFormatting sqref="P216:P390">
    <cfRule type="duplicateValues" dxfId="2" priority="171" stopIfTrue="1"/>
  </conditionalFormatting>
  <conditionalFormatting sqref="P502:P868 P391:P499 P870:P871 P873:P955">
    <cfRule type="duplicateValues" dxfId="1" priority="277" stopIfTrue="1"/>
  </conditionalFormatting>
  <conditionalFormatting sqref="Q1:Q65056">
    <cfRule type="duplicateValues" dxfId="0" priority="281" stopIfTrue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29"/>
  <sheetViews>
    <sheetView workbookViewId="0">
      <selection activeCell="B1" sqref="B1"/>
    </sheetView>
  </sheetViews>
  <sheetFormatPr baseColWidth="10" defaultRowHeight="12.75" x14ac:dyDescent="0.2"/>
  <cols>
    <col min="1" max="1" width="4.140625" customWidth="1"/>
    <col min="2" max="2" width="30.85546875" customWidth="1"/>
    <col min="3" max="3" width="27.28515625" customWidth="1"/>
    <col min="4" max="4" width="18.7109375" style="33" customWidth="1"/>
    <col min="6" max="6" width="18.85546875" style="30" customWidth="1"/>
    <col min="7" max="7" width="20.42578125" customWidth="1"/>
    <col min="8" max="9" width="18.85546875" customWidth="1"/>
    <col min="10" max="10" width="20.140625" customWidth="1"/>
    <col min="11" max="11" width="23.140625" customWidth="1"/>
  </cols>
  <sheetData>
    <row r="1" spans="1:7" x14ac:dyDescent="0.2">
      <c r="A1" s="31">
        <v>102</v>
      </c>
      <c r="B1" s="28" t="s">
        <v>6</v>
      </c>
      <c r="F1" s="29"/>
      <c r="G1" s="29"/>
    </row>
    <row r="2" spans="1:7" x14ac:dyDescent="0.2">
      <c r="A2" s="31">
        <v>110</v>
      </c>
      <c r="B2" s="28" t="s">
        <v>72</v>
      </c>
      <c r="F2" s="29"/>
      <c r="G2" s="29"/>
    </row>
    <row r="3" spans="1:7" x14ac:dyDescent="0.2">
      <c r="A3" s="31">
        <v>120</v>
      </c>
      <c r="B3" s="28" t="s">
        <v>83</v>
      </c>
      <c r="F3" s="29"/>
      <c r="G3" s="29"/>
    </row>
    <row r="4" spans="1:7" x14ac:dyDescent="0.2">
      <c r="A4" s="31">
        <v>122</v>
      </c>
      <c r="B4" s="28" t="s">
        <v>85</v>
      </c>
      <c r="F4" s="29"/>
      <c r="G4" s="29"/>
    </row>
    <row r="5" spans="1:7" x14ac:dyDescent="0.2">
      <c r="A5" s="31">
        <v>126</v>
      </c>
      <c r="B5" s="28" t="s">
        <v>87</v>
      </c>
      <c r="F5" s="29"/>
      <c r="G5" s="32"/>
    </row>
    <row r="6" spans="1:7" x14ac:dyDescent="0.2">
      <c r="A6" s="31">
        <v>128</v>
      </c>
      <c r="B6" s="28" t="s">
        <v>89</v>
      </c>
      <c r="F6" s="29"/>
      <c r="G6" s="29"/>
    </row>
    <row r="7" spans="1:7" x14ac:dyDescent="0.2">
      <c r="A7" s="31">
        <v>130</v>
      </c>
      <c r="B7" s="28" t="s">
        <v>91</v>
      </c>
      <c r="F7" s="29"/>
      <c r="G7" s="29"/>
    </row>
    <row r="8" spans="1:7" x14ac:dyDescent="0.2">
      <c r="A8" s="31">
        <v>132</v>
      </c>
      <c r="B8" s="28" t="s">
        <v>92</v>
      </c>
      <c r="F8" s="29"/>
      <c r="G8" s="29"/>
    </row>
    <row r="9" spans="1:7" x14ac:dyDescent="0.2">
      <c r="A9" s="31">
        <v>200</v>
      </c>
      <c r="B9" s="28" t="s">
        <v>94</v>
      </c>
      <c r="F9" s="29"/>
      <c r="G9" s="33"/>
    </row>
    <row r="10" spans="1:7" x14ac:dyDescent="0.2">
      <c r="A10" s="31">
        <v>210</v>
      </c>
      <c r="B10" s="28" t="s">
        <v>96</v>
      </c>
      <c r="F10" s="29"/>
    </row>
    <row r="11" spans="1:7" x14ac:dyDescent="0.2">
      <c r="A11" s="31">
        <v>212</v>
      </c>
      <c r="B11" s="28" t="s">
        <v>98</v>
      </c>
      <c r="F11" s="29"/>
    </row>
    <row r="12" spans="1:7" x14ac:dyDescent="0.2">
      <c r="A12" s="31">
        <v>214</v>
      </c>
      <c r="B12" s="28" t="s">
        <v>100</v>
      </c>
      <c r="F12" s="29"/>
    </row>
    <row r="13" spans="1:7" x14ac:dyDescent="0.2">
      <c r="A13" s="31">
        <v>216</v>
      </c>
      <c r="B13" s="28" t="s">
        <v>102</v>
      </c>
      <c r="F13" s="29"/>
    </row>
    <row r="14" spans="1:7" x14ac:dyDescent="0.2">
      <c r="A14" s="31">
        <v>220</v>
      </c>
      <c r="B14" s="28" t="s">
        <v>103</v>
      </c>
      <c r="F14" s="29"/>
    </row>
    <row r="15" spans="1:7" x14ac:dyDescent="0.2">
      <c r="A15" s="31">
        <v>222</v>
      </c>
      <c r="B15" s="28" t="s">
        <v>104</v>
      </c>
      <c r="F15" s="29"/>
    </row>
    <row r="16" spans="1:7" x14ac:dyDescent="0.2">
      <c r="A16" s="31">
        <v>240</v>
      </c>
      <c r="B16" s="28" t="s">
        <v>105</v>
      </c>
      <c r="F16" s="29"/>
    </row>
    <row r="17" spans="1:7" x14ac:dyDescent="0.2">
      <c r="A17" s="31">
        <v>400</v>
      </c>
      <c r="B17" s="28" t="s">
        <v>106</v>
      </c>
      <c r="F17" s="29"/>
      <c r="G17" s="33"/>
    </row>
    <row r="18" spans="1:7" x14ac:dyDescent="0.2">
      <c r="A18" s="31">
        <v>101</v>
      </c>
      <c r="B18" s="28" t="s">
        <v>81</v>
      </c>
    </row>
    <row r="19" spans="1:7" x14ac:dyDescent="0.2">
      <c r="A19" s="31">
        <v>103</v>
      </c>
      <c r="B19" s="28" t="s">
        <v>82</v>
      </c>
    </row>
    <row r="20" spans="1:7" x14ac:dyDescent="0.2">
      <c r="A20" s="31">
        <v>109</v>
      </c>
      <c r="B20" s="28" t="s">
        <v>84</v>
      </c>
    </row>
    <row r="21" spans="1:7" x14ac:dyDescent="0.2">
      <c r="A21" s="31">
        <v>131</v>
      </c>
      <c r="B21" s="28" t="s">
        <v>86</v>
      </c>
    </row>
    <row r="22" spans="1:7" x14ac:dyDescent="0.2">
      <c r="A22" s="31">
        <v>133</v>
      </c>
      <c r="B22" s="28" t="s">
        <v>88</v>
      </c>
    </row>
    <row r="23" spans="1:7" x14ac:dyDescent="0.2">
      <c r="A23" s="31">
        <v>141</v>
      </c>
      <c r="B23" s="28" t="s">
        <v>90</v>
      </c>
    </row>
    <row r="24" spans="1:7" x14ac:dyDescent="0.2">
      <c r="A24" s="31">
        <v>199</v>
      </c>
      <c r="B24" s="28" t="s">
        <v>93</v>
      </c>
    </row>
    <row r="25" spans="1:7" x14ac:dyDescent="0.2">
      <c r="A25" s="31">
        <v>201</v>
      </c>
      <c r="B25" s="28" t="s">
        <v>95</v>
      </c>
    </row>
    <row r="26" spans="1:7" x14ac:dyDescent="0.2">
      <c r="A26" s="31">
        <v>203</v>
      </c>
      <c r="B26" s="28" t="s">
        <v>97</v>
      </c>
    </row>
    <row r="27" spans="1:7" x14ac:dyDescent="0.2">
      <c r="A27" s="31">
        <v>221</v>
      </c>
      <c r="B27" s="28" t="s">
        <v>99</v>
      </c>
    </row>
    <row r="28" spans="1:7" x14ac:dyDescent="0.2">
      <c r="A28" s="31">
        <v>299</v>
      </c>
      <c r="B28" s="28" t="s">
        <v>101</v>
      </c>
    </row>
    <row r="29" spans="1:7" x14ac:dyDescent="0.2">
      <c r="A29" s="31">
        <v>401</v>
      </c>
      <c r="B29" s="28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B5" sqref="B5"/>
    </sheetView>
  </sheetViews>
  <sheetFormatPr baseColWidth="10" defaultRowHeight="12.75" x14ac:dyDescent="0.2"/>
  <cols>
    <col min="2" max="2" width="31.85546875" bestFit="1" customWidth="1"/>
    <col min="4" max="4" width="46.7109375" customWidth="1"/>
    <col min="6" max="6" width="19.28515625" bestFit="1" customWidth="1"/>
    <col min="9" max="9" width="48.85546875" customWidth="1"/>
  </cols>
  <sheetData>
    <row r="1" spans="1:11" x14ac:dyDescent="0.2">
      <c r="A1">
        <v>1</v>
      </c>
      <c r="B1" t="s">
        <v>3</v>
      </c>
      <c r="C1">
        <v>1</v>
      </c>
      <c r="D1" t="s">
        <v>171</v>
      </c>
      <c r="E1">
        <v>1</v>
      </c>
      <c r="F1" t="s">
        <v>5</v>
      </c>
      <c r="H1">
        <v>1</v>
      </c>
      <c r="I1" t="s">
        <v>496</v>
      </c>
      <c r="J1">
        <v>1</v>
      </c>
      <c r="K1" t="s">
        <v>498</v>
      </c>
    </row>
    <row r="2" spans="1:11" ht="23.25" x14ac:dyDescent="0.2">
      <c r="A2">
        <v>2</v>
      </c>
      <c r="B2" t="s">
        <v>495</v>
      </c>
      <c r="C2">
        <v>2</v>
      </c>
      <c r="D2" s="34" t="s">
        <v>170</v>
      </c>
      <c r="E2">
        <v>2</v>
      </c>
      <c r="F2" s="34" t="s">
        <v>160</v>
      </c>
      <c r="H2">
        <v>2</v>
      </c>
      <c r="I2" s="34" t="s">
        <v>497</v>
      </c>
      <c r="J2">
        <v>2</v>
      </c>
      <c r="K2" s="34" t="s">
        <v>499</v>
      </c>
    </row>
    <row r="3" spans="1:11" x14ac:dyDescent="0.2">
      <c r="A3">
        <v>3</v>
      </c>
      <c r="B3" t="s">
        <v>882</v>
      </c>
      <c r="C3">
        <v>3</v>
      </c>
      <c r="D3" t="s">
        <v>883</v>
      </c>
    </row>
    <row r="4" spans="1:11" x14ac:dyDescent="0.2">
      <c r="A4">
        <v>4</v>
      </c>
      <c r="B4" t="s">
        <v>920</v>
      </c>
      <c r="C4">
        <v>4</v>
      </c>
      <c r="D4" t="s">
        <v>937</v>
      </c>
    </row>
    <row r="5" spans="1:11" x14ac:dyDescent="0.2">
      <c r="A5">
        <v>5</v>
      </c>
      <c r="B5" t="s">
        <v>936</v>
      </c>
      <c r="C5">
        <v>5</v>
      </c>
      <c r="D5" t="s">
        <v>938</v>
      </c>
    </row>
    <row r="6" spans="1:11" x14ac:dyDescent="0.2">
      <c r="A6">
        <v>6</v>
      </c>
      <c r="B6" t="s">
        <v>942</v>
      </c>
      <c r="C6">
        <v>6</v>
      </c>
      <c r="D6" t="s">
        <v>941</v>
      </c>
    </row>
    <row r="7" spans="1:11" x14ac:dyDescent="0.2">
      <c r="C7">
        <v>7</v>
      </c>
      <c r="D7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activos</vt:lpstr>
      <vt:lpstr>PUB 21</vt:lpstr>
      <vt:lpstr>ACTIVOS CODIGO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CLEMENTE</dc:creator>
  <cp:lastModifiedBy>FRANK CLEMENTE</cp:lastModifiedBy>
  <dcterms:created xsi:type="dcterms:W3CDTF">2024-04-18T14:38:08Z</dcterms:created>
  <dcterms:modified xsi:type="dcterms:W3CDTF">2024-04-22T06:26:09Z</dcterms:modified>
</cp:coreProperties>
</file>